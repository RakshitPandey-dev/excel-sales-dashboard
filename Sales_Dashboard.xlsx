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Rakshit\Documents\"/>
    </mc:Choice>
  </mc:AlternateContent>
  <xr:revisionPtr revIDLastSave="0" documentId="13_ncr:1_{09CD6947-445B-445D-9E0A-1C99F82FA816}" xr6:coauthVersionLast="47" xr6:coauthVersionMax="47" xr10:uidLastSave="{00000000-0000-0000-0000-000000000000}"/>
  <bookViews>
    <workbookView xWindow="-120" yWindow="-120" windowWidth="20730" windowHeight="11040" activeTab="2" xr2:uid="{A1404146-6B19-42CA-B655-83DAC46F0ACA}"/>
  </bookViews>
  <sheets>
    <sheet name="Raw Data" sheetId="1" r:id="rId1"/>
    <sheet name="Pivot Table" sheetId="10" r:id="rId2"/>
    <sheet name="Dashboard" sheetId="9" r:id="rId3"/>
  </sheets>
  <definedNames>
    <definedName name="_xlnm._FilterDatabase" localSheetId="0" hidden="1">'Raw Data'!$R$14:$S$18</definedName>
    <definedName name="Slicer_Category">#N/A</definedName>
    <definedName name="Slicer_Product">#N/A</definedName>
    <definedName name="Slicer_Region">#N/A</definedName>
    <definedName name="Slicer_Salesperson">#N/A</definedName>
  </definedNames>
  <calcPr calcId="191029"/>
  <pivotCaches>
    <pivotCache cacheId="19"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15" i="10" l="1"/>
  <c r="I12" i="10"/>
  <c r="O13" i="10"/>
  <c r="N11" i="1"/>
  <c r="K2" i="1"/>
  <c r="L2" i="1" s="1"/>
  <c r="K3" i="1"/>
  <c r="L3" i="1" s="1"/>
  <c r="K4" i="1"/>
  <c r="L4" i="1" s="1"/>
  <c r="M4" i="1" s="1"/>
  <c r="N4" i="1" s="1"/>
  <c r="K5" i="1"/>
  <c r="L5" i="1" s="1"/>
  <c r="M5" i="1" s="1"/>
  <c r="N5" i="1" s="1"/>
  <c r="K6" i="1"/>
  <c r="L6" i="1" s="1"/>
  <c r="M6" i="1" s="1"/>
  <c r="N6" i="1" s="1"/>
  <c r="K7" i="1"/>
  <c r="L7" i="1" s="1"/>
  <c r="K8" i="1"/>
  <c r="L8" i="1" s="1"/>
  <c r="M8" i="1" s="1"/>
  <c r="N8" i="1" s="1"/>
  <c r="K9" i="1"/>
  <c r="L9" i="1" s="1"/>
  <c r="K10" i="1"/>
  <c r="L10" i="1" s="1"/>
  <c r="M10" i="1" s="1"/>
  <c r="N10" i="1" s="1"/>
  <c r="K11" i="1"/>
  <c r="L11" i="1" s="1"/>
  <c r="M11" i="1" s="1"/>
  <c r="K12" i="1"/>
  <c r="L12" i="1" s="1"/>
  <c r="K13" i="1"/>
  <c r="L13" i="1" s="1"/>
  <c r="K14" i="1"/>
  <c r="L14" i="1"/>
  <c r="M14" i="1" s="1"/>
  <c r="N14" i="1" s="1"/>
  <c r="K15" i="1"/>
  <c r="L15" i="1" s="1"/>
  <c r="K16" i="1"/>
  <c r="L16" i="1" s="1"/>
  <c r="A17" i="10"/>
  <c r="A16" i="10"/>
  <c r="M7" i="1" l="1"/>
  <c r="N7" i="1" s="1"/>
  <c r="M16" i="1"/>
  <c r="M13" i="1"/>
  <c r="N13" i="1" s="1"/>
  <c r="M3" i="1"/>
  <c r="N3" i="1" s="1"/>
  <c r="M15" i="1"/>
  <c r="M12" i="1"/>
  <c r="N12" i="1" s="1"/>
  <c r="M9" i="1"/>
  <c r="N9" i="1" s="1"/>
  <c r="M2" i="1"/>
  <c r="N2" i="1" s="1"/>
  <c r="N16" i="1" l="1"/>
  <c r="N15" i="1"/>
</calcChain>
</file>

<file path=xl/sharedStrings.xml><?xml version="1.0" encoding="utf-8"?>
<sst xmlns="http://schemas.openxmlformats.org/spreadsheetml/2006/main" count="123" uniqueCount="37">
  <si>
    <t>Order ID</t>
  </si>
  <si>
    <t>Date</t>
  </si>
  <si>
    <t>Region</t>
  </si>
  <si>
    <t>Salesperson</t>
  </si>
  <si>
    <t>Product</t>
  </si>
  <si>
    <t>Category</t>
  </si>
  <si>
    <t>Units Sold</t>
  </si>
  <si>
    <t>Unit Price</t>
  </si>
  <si>
    <t>Discount (%)</t>
  </si>
  <si>
    <t>Customer Type</t>
  </si>
  <si>
    <t>North</t>
  </si>
  <si>
    <t>Rahul</t>
  </si>
  <si>
    <t>Laptop</t>
  </si>
  <si>
    <t>Electronics</t>
  </si>
  <si>
    <t>Corporate</t>
  </si>
  <si>
    <t>South</t>
  </si>
  <si>
    <t>Priya</t>
  </si>
  <si>
    <t>Mouse</t>
  </si>
  <si>
    <t>Accessories</t>
  </si>
  <si>
    <t>Retail</t>
  </si>
  <si>
    <t>East</t>
  </si>
  <si>
    <t>Aman</t>
  </si>
  <si>
    <t>Keyboard</t>
  </si>
  <si>
    <t>West</t>
  </si>
  <si>
    <t>Neha</t>
  </si>
  <si>
    <t>Monitor</t>
  </si>
  <si>
    <t>Printer</t>
  </si>
  <si>
    <t>Gross Sales</t>
  </si>
  <si>
    <t>Discount Amount</t>
  </si>
  <si>
    <t>Net Sales</t>
  </si>
  <si>
    <t>High/Low</t>
  </si>
  <si>
    <t>Row Labels</t>
  </si>
  <si>
    <t>Grand Total</t>
  </si>
  <si>
    <t>Sum of Net Sales</t>
  </si>
  <si>
    <t>Sum of Units Sold</t>
  </si>
  <si>
    <t>Count of Order ID</t>
  </si>
  <si>
    <t>Sales by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</si>
</sst>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quot;₹&quot;\ #,##0.00"/>
    <numFmt numFmtId="166" formatCode="_ &quot;₹&quot;\ * #,##0_ ;_ &quot;₹&quot;\ * \-#,##0_ ;_ &quot;₹&quot;\ * &quot;-&quot;??_ ;_ @_ "/>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2">
    <xf numFmtId="0" fontId="0" fillId="0" borderId="0"/>
    <xf numFmtId="44" fontId="2" fillId="0" borderId="0" applyFont="0" applyFill="0" applyBorder="0" applyAlignment="0" applyProtection="0"/>
  </cellStyleXfs>
  <cellXfs count="31">
    <xf numFmtId="0" fontId="0" fillId="0" borderId="0" xfId="0"/>
    <xf numFmtId="0" fontId="0" fillId="0" borderId="1" xfId="0" applyBorder="1" applyAlignment="1">
      <alignment horizontal="right" vertical="center" wrapText="1"/>
    </xf>
    <xf numFmtId="14" fontId="0" fillId="0" borderId="1" xfId="0" applyNumberFormat="1" applyBorder="1" applyAlignment="1">
      <alignment vertical="center" wrapText="1"/>
    </xf>
    <xf numFmtId="0" fontId="0" fillId="0" borderId="1" xfId="0" applyBorder="1" applyAlignment="1">
      <alignment vertical="center" wrapText="1"/>
    </xf>
    <xf numFmtId="0" fontId="0" fillId="0" borderId="1" xfId="0" applyBorder="1" applyAlignment="1">
      <alignment horizontal="right" vertical="center"/>
    </xf>
    <xf numFmtId="0" fontId="0" fillId="0" borderId="1" xfId="0" applyBorder="1"/>
    <xf numFmtId="0" fontId="0" fillId="0" borderId="0" xfId="0" applyAlignment="1">
      <alignment vertical="center" wrapText="1"/>
    </xf>
    <xf numFmtId="0" fontId="0" fillId="0" borderId="0" xfId="0" applyAlignment="1">
      <alignment vertical="center"/>
    </xf>
    <xf numFmtId="0" fontId="1" fillId="0" borderId="0" xfId="0" applyFont="1" applyAlignment="1">
      <alignment vertical="center"/>
    </xf>
    <xf numFmtId="0" fontId="0" fillId="0" borderId="0" xfId="0" pivotButton="1"/>
    <xf numFmtId="0" fontId="0" fillId="0" borderId="0" xfId="0" applyAlignment="1">
      <alignment horizontal="left"/>
    </xf>
    <xf numFmtId="0" fontId="1" fillId="0" borderId="0" xfId="0" applyFont="1" applyAlignment="1">
      <alignment horizontal="center" vertical="center"/>
    </xf>
    <xf numFmtId="0" fontId="1" fillId="0" borderId="0" xfId="0" applyFont="1"/>
    <xf numFmtId="164" fontId="0" fillId="0" borderId="0" xfId="0" applyNumberFormat="1"/>
    <xf numFmtId="0" fontId="0" fillId="0" borderId="0" xfId="0" applyAlignment="1">
      <alignment wrapText="1"/>
    </xf>
    <xf numFmtId="1" fontId="0" fillId="0" borderId="0" xfId="0" applyNumberFormat="1"/>
    <xf numFmtId="0" fontId="0" fillId="0" borderId="0" xfId="0" applyNumberFormat="1"/>
    <xf numFmtId="0" fontId="0" fillId="0" borderId="2" xfId="0" applyBorder="1" applyAlignment="1">
      <alignment horizontal="right" vertical="center" wrapText="1"/>
    </xf>
    <xf numFmtId="0" fontId="0" fillId="0" borderId="5" xfId="0" applyBorder="1" applyAlignment="1">
      <alignment horizontal="right" vertical="center" wrapText="1"/>
    </xf>
    <xf numFmtId="14" fontId="0" fillId="0" borderId="6" xfId="0" applyNumberFormat="1" applyBorder="1" applyAlignment="1">
      <alignment vertical="center" wrapText="1"/>
    </xf>
    <xf numFmtId="0" fontId="0" fillId="0" borderId="6" xfId="0" applyBorder="1" applyAlignment="1">
      <alignment vertical="center" wrapText="1"/>
    </xf>
    <xf numFmtId="0" fontId="0" fillId="0" borderId="6" xfId="0" applyBorder="1" applyAlignment="1">
      <alignment horizontal="right" vertical="center"/>
    </xf>
    <xf numFmtId="0" fontId="0" fillId="0" borderId="6" xfId="0" applyBorder="1" applyAlignment="1">
      <alignment horizontal="right" vertical="center" wrapText="1"/>
    </xf>
    <xf numFmtId="0" fontId="0" fillId="0" borderId="6" xfId="0" applyBorder="1"/>
    <xf numFmtId="0" fontId="1" fillId="0" borderId="3" xfId="0" applyFont="1" applyFill="1" applyBorder="1" applyAlignment="1">
      <alignment horizontal="right" vertical="center"/>
    </xf>
    <xf numFmtId="0" fontId="1" fillId="0" borderId="4" xfId="0" applyFont="1" applyFill="1" applyBorder="1" applyAlignment="1">
      <alignment horizontal="center" vertical="center"/>
    </xf>
    <xf numFmtId="0" fontId="1" fillId="0" borderId="4" xfId="0" applyFont="1" applyFill="1" applyBorder="1" applyAlignment="1">
      <alignment horizontal="right" vertical="center"/>
    </xf>
    <xf numFmtId="0" fontId="0" fillId="0" borderId="0" xfId="0" applyFill="1"/>
    <xf numFmtId="0" fontId="1" fillId="0" borderId="0" xfId="0" applyFont="1" applyFill="1" applyAlignment="1">
      <alignment horizontal="center" vertical="center"/>
    </xf>
    <xf numFmtId="14" fontId="0" fillId="0" borderId="0" xfId="0" applyNumberFormat="1" applyAlignment="1">
      <alignment horizontal="left"/>
    </xf>
    <xf numFmtId="166" fontId="0" fillId="0" borderId="0" xfId="1" applyNumberFormat="1" applyFont="1"/>
  </cellXfs>
  <cellStyles count="2">
    <cellStyle name="Currency" xfId="1" builtinId="4"/>
    <cellStyle name="Normal" xfId="0" builtinId="0"/>
  </cellStyles>
  <dxfs count="18">
    <dxf>
      <font>
        <b/>
        <i val="0"/>
        <strike val="0"/>
        <condense val="0"/>
        <extend val="0"/>
        <outline val="0"/>
        <shadow val="0"/>
        <u val="none"/>
        <vertAlign val="baseline"/>
        <sz val="11"/>
        <color theme="1"/>
        <name val="Calibri"/>
        <family val="2"/>
        <scheme val="minor"/>
      </font>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colors>
    <mruColors>
      <color rgb="FF203864"/>
      <color rgb="FFCC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Sample Data.xlsx]Pivot Table!PivotTable10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Category</a:t>
            </a:r>
            <a:r>
              <a:rPr lang="en-US" b="1" baseline="0">
                <a:solidFill>
                  <a:schemeClr val="tx1"/>
                </a:solidFill>
              </a:rPr>
              <a:t> - Wise Sales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quot;₹&quot;\ #,##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w="19050">
            <a:solidFill>
              <a:schemeClr val="lt1"/>
            </a:solidFill>
          </a:ln>
          <a:effectLst/>
        </c:spPr>
        <c:dLbl>
          <c:idx val="0"/>
          <c:layout>
            <c:manualLayout>
              <c:x val="0.17736974900080471"/>
              <c:y val="6.7830337817956041E-2"/>
            </c:manualLayout>
          </c:layout>
          <c:numFmt formatCode="&quot;₹&quot;\ #,##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129874621547386"/>
                  <c:h val="9.3982002249718782E-2"/>
                </c:manualLayout>
              </c15:layout>
            </c:ext>
          </c:extLst>
        </c:dLbl>
      </c:pivotFmt>
      <c:pivotFmt>
        <c:idx val="6"/>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w="19050">
            <a:solidFill>
              <a:schemeClr val="lt1"/>
            </a:solidFill>
          </a:ln>
          <a:effectLst/>
        </c:spPr>
        <c:dLbl>
          <c:idx val="0"/>
          <c:layout>
            <c:manualLayout>
              <c:x val="-6.9773925408106327E-2"/>
              <c:y val="-9.3770153730783651E-2"/>
            </c:manualLayout>
          </c:layout>
          <c:numFmt formatCode="&quot;₹&quot;\ #,##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287159933992027"/>
                  <c:h val="6.8440730622957857E-2"/>
                </c:manualLayout>
              </c15:layout>
            </c:ext>
          </c:extLst>
        </c:dLbl>
      </c:pivotFmt>
    </c:pivotFmts>
    <c:plotArea>
      <c:layout/>
      <c:doughnutChart>
        <c:varyColors val="1"/>
        <c:ser>
          <c:idx val="0"/>
          <c:order val="0"/>
          <c:tx>
            <c:strRef>
              <c:f>'Pivot Table'!$S$4</c:f>
              <c:strCache>
                <c:ptCount val="1"/>
                <c:pt idx="0">
                  <c:v>Total</c:v>
                </c:pt>
              </c:strCache>
            </c:strRef>
          </c:tx>
          <c:dPt>
            <c:idx val="0"/>
            <c:bubble3D val="0"/>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w="19050">
                <a:solidFill>
                  <a:schemeClr val="lt1"/>
                </a:solidFill>
              </a:ln>
              <a:effectLst/>
            </c:spPr>
            <c:extLst>
              <c:ext xmlns:c16="http://schemas.microsoft.com/office/drawing/2014/chart" uri="{C3380CC4-5D6E-409C-BE32-E72D297353CC}">
                <c16:uniqueId val="{00000001-E3FD-4001-9290-D5BF6EEF390C}"/>
              </c:ext>
            </c:extLst>
          </c:dPt>
          <c:dPt>
            <c:idx val="1"/>
            <c:bubble3D val="0"/>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w="19050">
                <a:solidFill>
                  <a:schemeClr val="lt1"/>
                </a:solidFill>
              </a:ln>
              <a:effectLst/>
            </c:spPr>
            <c:extLst>
              <c:ext xmlns:c16="http://schemas.microsoft.com/office/drawing/2014/chart" uri="{C3380CC4-5D6E-409C-BE32-E72D297353CC}">
                <c16:uniqueId val="{00000003-E3FD-4001-9290-D5BF6EEF390C}"/>
              </c:ext>
            </c:extLst>
          </c:dPt>
          <c:dLbls>
            <c:dLbl>
              <c:idx val="0"/>
              <c:layout>
                <c:manualLayout>
                  <c:x val="0.17736974900080471"/>
                  <c:y val="6.7830337817956041E-2"/>
                </c:manualLayout>
              </c:layout>
              <c:numFmt formatCode="&quot;₹&quot;\ #,##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129874621547386"/>
                      <c:h val="9.3982002249718782E-2"/>
                    </c:manualLayout>
                  </c15:layout>
                </c:ext>
                <c:ext xmlns:c16="http://schemas.microsoft.com/office/drawing/2014/chart" uri="{C3380CC4-5D6E-409C-BE32-E72D297353CC}">
                  <c16:uniqueId val="{00000001-E3FD-4001-9290-D5BF6EEF390C}"/>
                </c:ext>
              </c:extLst>
            </c:dLbl>
            <c:dLbl>
              <c:idx val="1"/>
              <c:layout>
                <c:manualLayout>
                  <c:x val="-6.9773925408106327E-2"/>
                  <c:y val="-9.3770153730783651E-2"/>
                </c:manualLayout>
              </c:layout>
              <c:numFmt formatCode="&quot;₹&quot;\ #,##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287159933992027"/>
                      <c:h val="6.8440730622957857E-2"/>
                    </c:manualLayout>
                  </c15:layout>
                </c:ext>
                <c:ext xmlns:c16="http://schemas.microsoft.com/office/drawing/2014/chart" uri="{C3380CC4-5D6E-409C-BE32-E72D297353CC}">
                  <c16:uniqueId val="{00000003-E3FD-4001-9290-D5BF6EEF390C}"/>
                </c:ext>
              </c:extLst>
            </c:dLbl>
            <c:numFmt formatCode="&quot;₹&quot;\ #,##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Table'!$R$5:$R$7</c:f>
              <c:strCache>
                <c:ptCount val="2"/>
                <c:pt idx="0">
                  <c:v>Electronics</c:v>
                </c:pt>
                <c:pt idx="1">
                  <c:v>Accessories</c:v>
                </c:pt>
              </c:strCache>
            </c:strRef>
          </c:cat>
          <c:val>
            <c:numRef>
              <c:f>'Pivot Table'!$S$5:$S$7</c:f>
              <c:numCache>
                <c:formatCode>General</c:formatCode>
                <c:ptCount val="2"/>
                <c:pt idx="0">
                  <c:v>482091</c:v>
                </c:pt>
                <c:pt idx="1">
                  <c:v>65520</c:v>
                </c:pt>
              </c:numCache>
            </c:numRef>
          </c:val>
          <c:extLst>
            <c:ext xmlns:c16="http://schemas.microsoft.com/office/drawing/2014/chart" uri="{C3380CC4-5D6E-409C-BE32-E72D297353CC}">
              <c16:uniqueId val="{00000004-E3FD-4001-9290-D5BF6EEF390C}"/>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Sample Data.xlsx]Pivot Table!PivotTable11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Salesperson-Wise</a:t>
            </a:r>
            <a:r>
              <a:rPr lang="en-US" b="1" baseline="0">
                <a:solidFill>
                  <a:schemeClr val="tx1"/>
                </a:solidFill>
              </a:rPr>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Table'!$V$4</c:f>
              <c:strCache>
                <c:ptCount val="1"/>
                <c:pt idx="0">
                  <c:v>Total</c:v>
                </c:pt>
              </c:strCache>
            </c:strRef>
          </c:tx>
          <c:spPr>
            <a:solidFill>
              <a:schemeClr val="accent1"/>
            </a:solidFill>
            <a:ln>
              <a:noFill/>
            </a:ln>
            <a:effectLst/>
          </c:spPr>
          <c:invertIfNegative val="0"/>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Table'!$U$5:$U$9</c:f>
              <c:strCache>
                <c:ptCount val="4"/>
                <c:pt idx="0">
                  <c:v>Aman</c:v>
                </c:pt>
                <c:pt idx="1">
                  <c:v>Neha</c:v>
                </c:pt>
                <c:pt idx="2">
                  <c:v>Priya</c:v>
                </c:pt>
                <c:pt idx="3">
                  <c:v>Rahul</c:v>
                </c:pt>
              </c:strCache>
            </c:strRef>
          </c:cat>
          <c:val>
            <c:numRef>
              <c:f>'Pivot Table'!$V$5:$V$9</c:f>
              <c:numCache>
                <c:formatCode>General</c:formatCode>
                <c:ptCount val="4"/>
                <c:pt idx="0">
                  <c:v>200826</c:v>
                </c:pt>
                <c:pt idx="1">
                  <c:v>59420</c:v>
                </c:pt>
                <c:pt idx="2">
                  <c:v>129670</c:v>
                </c:pt>
                <c:pt idx="3">
                  <c:v>157695</c:v>
                </c:pt>
              </c:numCache>
            </c:numRef>
          </c:val>
          <c:extLst>
            <c:ext xmlns:c16="http://schemas.microsoft.com/office/drawing/2014/chart" uri="{C3380CC4-5D6E-409C-BE32-E72D297353CC}">
              <c16:uniqueId val="{00000000-A10F-45B5-8DB6-F8E316090A4D}"/>
            </c:ext>
          </c:extLst>
        </c:ser>
        <c:dLbls>
          <c:dLblPos val="outEnd"/>
          <c:showLegendKey val="0"/>
          <c:showVal val="1"/>
          <c:showCatName val="0"/>
          <c:showSerName val="0"/>
          <c:showPercent val="0"/>
          <c:showBubbleSize val="0"/>
        </c:dLbls>
        <c:gapWidth val="50"/>
        <c:overlap val="-27"/>
        <c:axId val="221241407"/>
        <c:axId val="305328735"/>
      </c:barChart>
      <c:catAx>
        <c:axId val="2212414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328735"/>
        <c:crosses val="autoZero"/>
        <c:auto val="1"/>
        <c:lblAlgn val="ctr"/>
        <c:lblOffset val="100"/>
        <c:noMultiLvlLbl val="0"/>
      </c:catAx>
      <c:valAx>
        <c:axId val="305328735"/>
        <c:scaling>
          <c:orientation val="minMax"/>
        </c:scaling>
        <c:delete val="1"/>
        <c:axPos val="l"/>
        <c:numFmt formatCode="General" sourceLinked="1"/>
        <c:majorTickMark val="out"/>
        <c:minorTickMark val="none"/>
        <c:tickLblPos val="nextTo"/>
        <c:crossAx val="221241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Sample Data.xlsx]Pivot Table!PivotTable12</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Daily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Table'!$Y$4</c:f>
              <c:strCache>
                <c:ptCount val="1"/>
                <c:pt idx="0">
                  <c:v>Total</c:v>
                </c:pt>
              </c:strCache>
            </c:strRef>
          </c:tx>
          <c:spPr>
            <a:ln w="28575" cap="rnd">
              <a:solidFill>
                <a:schemeClr val="accent1"/>
              </a:solidFill>
              <a:round/>
            </a:ln>
            <a:effectLst/>
          </c:spPr>
          <c:marker>
            <c:symbol val="none"/>
          </c:marker>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Table'!$X$5:$X$13</c:f>
              <c:strCache>
                <c:ptCount val="8"/>
                <c:pt idx="0">
                  <c:v>01-06-2026</c:v>
                </c:pt>
                <c:pt idx="1">
                  <c:v>02-06-2026</c:v>
                </c:pt>
                <c:pt idx="2">
                  <c:v>03-06-2026</c:v>
                </c:pt>
                <c:pt idx="3">
                  <c:v>04-06-2026</c:v>
                </c:pt>
                <c:pt idx="4">
                  <c:v>05-06-2026</c:v>
                </c:pt>
                <c:pt idx="5">
                  <c:v>06-06-2026</c:v>
                </c:pt>
                <c:pt idx="6">
                  <c:v>07-06-2026</c:v>
                </c:pt>
                <c:pt idx="7">
                  <c:v>08-06-2026</c:v>
                </c:pt>
              </c:strCache>
            </c:strRef>
          </c:cat>
          <c:val>
            <c:numRef>
              <c:f>'Pivot Table'!$Y$5:$Y$13</c:f>
              <c:numCache>
                <c:formatCode>General</c:formatCode>
                <c:ptCount val="8"/>
                <c:pt idx="0">
                  <c:v>111700</c:v>
                </c:pt>
                <c:pt idx="1">
                  <c:v>40620</c:v>
                </c:pt>
                <c:pt idx="2">
                  <c:v>87000</c:v>
                </c:pt>
                <c:pt idx="3">
                  <c:v>28950</c:v>
                </c:pt>
                <c:pt idx="4">
                  <c:v>57875</c:v>
                </c:pt>
                <c:pt idx="5">
                  <c:v>123700</c:v>
                </c:pt>
                <c:pt idx="6">
                  <c:v>30790</c:v>
                </c:pt>
                <c:pt idx="7">
                  <c:v>66976</c:v>
                </c:pt>
              </c:numCache>
            </c:numRef>
          </c:val>
          <c:smooth val="0"/>
          <c:extLst>
            <c:ext xmlns:c16="http://schemas.microsoft.com/office/drawing/2014/chart" uri="{C3380CC4-5D6E-409C-BE32-E72D297353CC}">
              <c16:uniqueId val="{00000000-69DD-443E-8650-99F60655B21C}"/>
            </c:ext>
          </c:extLst>
        </c:ser>
        <c:dLbls>
          <c:dLblPos val="l"/>
          <c:showLegendKey val="0"/>
          <c:showVal val="1"/>
          <c:showCatName val="0"/>
          <c:showSerName val="0"/>
          <c:showPercent val="0"/>
          <c:showBubbleSize val="0"/>
        </c:dLbls>
        <c:smooth val="0"/>
        <c:axId val="413867135"/>
        <c:axId val="124020671"/>
      </c:lineChart>
      <c:catAx>
        <c:axId val="413867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20671"/>
        <c:crosses val="autoZero"/>
        <c:auto val="1"/>
        <c:lblAlgn val="ctr"/>
        <c:lblOffset val="100"/>
        <c:noMultiLvlLbl val="0"/>
      </c:catAx>
      <c:valAx>
        <c:axId val="124020671"/>
        <c:scaling>
          <c:orientation val="minMax"/>
        </c:scaling>
        <c:delete val="1"/>
        <c:axPos val="l"/>
        <c:numFmt formatCode="General" sourceLinked="1"/>
        <c:majorTickMark val="none"/>
        <c:minorTickMark val="none"/>
        <c:tickLblPos val="nextTo"/>
        <c:crossAx val="413867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95250</xdr:colOff>
      <xdr:row>0</xdr:row>
      <xdr:rowOff>66675</xdr:rowOff>
    </xdr:from>
    <xdr:to>
      <xdr:col>20</xdr:col>
      <xdr:colOff>438150</xdr:colOff>
      <xdr:row>33</xdr:row>
      <xdr:rowOff>9525</xdr:rowOff>
    </xdr:to>
    <xdr:sp macro="" textlink="">
      <xdr:nvSpPr>
        <xdr:cNvPr id="8" name="Rectangle: Rounded Corners 7">
          <a:extLst>
            <a:ext uri="{FF2B5EF4-FFF2-40B4-BE49-F238E27FC236}">
              <a16:creationId xmlns:a16="http://schemas.microsoft.com/office/drawing/2014/main" id="{BBDE6ACA-18AD-5E94-FE75-56993E0454FD}"/>
            </a:ext>
          </a:extLst>
        </xdr:cNvPr>
        <xdr:cNvSpPr/>
      </xdr:nvSpPr>
      <xdr:spPr>
        <a:xfrm>
          <a:off x="95250" y="66675"/>
          <a:ext cx="12534900" cy="6229350"/>
        </a:xfrm>
        <a:prstGeom prst="roundRect">
          <a:avLst>
            <a:gd name="adj"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238125</xdr:colOff>
      <xdr:row>1</xdr:row>
      <xdr:rowOff>9525</xdr:rowOff>
    </xdr:from>
    <xdr:to>
      <xdr:col>20</xdr:col>
      <xdr:colOff>285750</xdr:colOff>
      <xdr:row>4</xdr:row>
      <xdr:rowOff>161925</xdr:rowOff>
    </xdr:to>
    <xdr:sp macro="" textlink="">
      <xdr:nvSpPr>
        <xdr:cNvPr id="9" name="Rectangle 8">
          <a:extLst>
            <a:ext uri="{FF2B5EF4-FFF2-40B4-BE49-F238E27FC236}">
              <a16:creationId xmlns:a16="http://schemas.microsoft.com/office/drawing/2014/main" id="{D8063451-46F8-8DE3-38A0-2BC800164559}"/>
            </a:ext>
          </a:extLst>
        </xdr:cNvPr>
        <xdr:cNvSpPr/>
      </xdr:nvSpPr>
      <xdr:spPr>
        <a:xfrm>
          <a:off x="238125" y="200025"/>
          <a:ext cx="12239625" cy="7239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219075</xdr:colOff>
      <xdr:row>1</xdr:row>
      <xdr:rowOff>76200</xdr:rowOff>
    </xdr:from>
    <xdr:to>
      <xdr:col>15</xdr:col>
      <xdr:colOff>342900</xdr:colOff>
      <xdr:row>4</xdr:row>
      <xdr:rowOff>66675</xdr:rowOff>
    </xdr:to>
    <xdr:sp macro="" textlink="">
      <xdr:nvSpPr>
        <xdr:cNvPr id="10" name="TextBox 9">
          <a:extLst>
            <a:ext uri="{FF2B5EF4-FFF2-40B4-BE49-F238E27FC236}">
              <a16:creationId xmlns:a16="http://schemas.microsoft.com/office/drawing/2014/main" id="{AE768590-6989-1645-B23C-0F3DD95D75C0}"/>
            </a:ext>
          </a:extLst>
        </xdr:cNvPr>
        <xdr:cNvSpPr txBox="1"/>
      </xdr:nvSpPr>
      <xdr:spPr>
        <a:xfrm>
          <a:off x="3876675" y="266700"/>
          <a:ext cx="5610225" cy="561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t>SALES PERFORMANCE DASHBOARD</a:t>
          </a:r>
        </a:p>
      </xdr:txBody>
    </xdr:sp>
    <xdr:clientData/>
  </xdr:twoCellAnchor>
  <xdr:twoCellAnchor>
    <xdr:from>
      <xdr:col>0</xdr:col>
      <xdr:colOff>247650</xdr:colOff>
      <xdr:row>5</xdr:row>
      <xdr:rowOff>161925</xdr:rowOff>
    </xdr:from>
    <xdr:to>
      <xdr:col>6</xdr:col>
      <xdr:colOff>161925</xdr:colOff>
      <xdr:row>11</xdr:row>
      <xdr:rowOff>28575</xdr:rowOff>
    </xdr:to>
    <xdr:sp macro="" textlink="">
      <xdr:nvSpPr>
        <xdr:cNvPr id="11" name="Rectangle: Rounded Corners 10">
          <a:extLst>
            <a:ext uri="{FF2B5EF4-FFF2-40B4-BE49-F238E27FC236}">
              <a16:creationId xmlns:a16="http://schemas.microsoft.com/office/drawing/2014/main" id="{B983B871-606C-8556-A7B6-BC91BC235E45}"/>
            </a:ext>
          </a:extLst>
        </xdr:cNvPr>
        <xdr:cNvSpPr/>
      </xdr:nvSpPr>
      <xdr:spPr>
        <a:xfrm>
          <a:off x="247650" y="1114425"/>
          <a:ext cx="3571875" cy="1009650"/>
        </a:xfrm>
        <a:prstGeom prst="roundRect">
          <a:avLst/>
        </a:prstGeom>
        <a:solidFill>
          <a:schemeClr val="accent1">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171450</xdr:colOff>
      <xdr:row>5</xdr:row>
      <xdr:rowOff>171450</xdr:rowOff>
    </xdr:from>
    <xdr:to>
      <xdr:col>20</xdr:col>
      <xdr:colOff>85725</xdr:colOff>
      <xdr:row>11</xdr:row>
      <xdr:rowOff>38100</xdr:rowOff>
    </xdr:to>
    <xdr:sp macro="" textlink="">
      <xdr:nvSpPr>
        <xdr:cNvPr id="12" name="Rectangle: Rounded Corners 11">
          <a:extLst>
            <a:ext uri="{FF2B5EF4-FFF2-40B4-BE49-F238E27FC236}">
              <a16:creationId xmlns:a16="http://schemas.microsoft.com/office/drawing/2014/main" id="{02673286-3AC3-46E1-23AB-98BE671ED492}"/>
            </a:ext>
          </a:extLst>
        </xdr:cNvPr>
        <xdr:cNvSpPr/>
      </xdr:nvSpPr>
      <xdr:spPr>
        <a:xfrm>
          <a:off x="8705850" y="1123950"/>
          <a:ext cx="3571875" cy="1009650"/>
        </a:xfrm>
        <a:prstGeom prst="roundRect">
          <a:avLst/>
        </a:prstGeom>
        <a:solidFill>
          <a:schemeClr val="accent1">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180975</xdr:colOff>
      <xdr:row>5</xdr:row>
      <xdr:rowOff>171450</xdr:rowOff>
    </xdr:from>
    <xdr:to>
      <xdr:col>13</xdr:col>
      <xdr:colOff>95250</xdr:colOff>
      <xdr:row>11</xdr:row>
      <xdr:rowOff>38100</xdr:rowOff>
    </xdr:to>
    <xdr:sp macro="" textlink="">
      <xdr:nvSpPr>
        <xdr:cNvPr id="13" name="Rectangle: Rounded Corners 12">
          <a:extLst>
            <a:ext uri="{FF2B5EF4-FFF2-40B4-BE49-F238E27FC236}">
              <a16:creationId xmlns:a16="http://schemas.microsoft.com/office/drawing/2014/main" id="{C252C380-5694-E422-0AE5-2C5EE0A5CB85}"/>
            </a:ext>
          </a:extLst>
        </xdr:cNvPr>
        <xdr:cNvSpPr/>
      </xdr:nvSpPr>
      <xdr:spPr>
        <a:xfrm>
          <a:off x="4448175" y="1123950"/>
          <a:ext cx="3571875" cy="1009650"/>
        </a:xfrm>
        <a:prstGeom prst="roundRect">
          <a:avLst/>
        </a:prstGeom>
        <a:solidFill>
          <a:schemeClr val="accent1">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342900</xdr:colOff>
      <xdr:row>6</xdr:row>
      <xdr:rowOff>38100</xdr:rowOff>
    </xdr:from>
    <xdr:to>
      <xdr:col>4</xdr:col>
      <xdr:colOff>104775</xdr:colOff>
      <xdr:row>7</xdr:row>
      <xdr:rowOff>133350</xdr:rowOff>
    </xdr:to>
    <xdr:sp macro="" textlink="">
      <xdr:nvSpPr>
        <xdr:cNvPr id="14" name="TextBox 13">
          <a:extLst>
            <a:ext uri="{FF2B5EF4-FFF2-40B4-BE49-F238E27FC236}">
              <a16:creationId xmlns:a16="http://schemas.microsoft.com/office/drawing/2014/main" id="{4190582E-7AF1-67E5-ABAE-0D805221E1CF}"/>
            </a:ext>
          </a:extLst>
        </xdr:cNvPr>
        <xdr:cNvSpPr txBox="1"/>
      </xdr:nvSpPr>
      <xdr:spPr>
        <a:xfrm>
          <a:off x="1562100" y="1181100"/>
          <a:ext cx="9810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a:t>
          </a:r>
          <a:r>
            <a:rPr lang="en-IN" sz="1400" b="1" baseline="0"/>
            <a:t> Sales</a:t>
          </a:r>
          <a:endParaRPr lang="en-IN" sz="1400" b="1"/>
        </a:p>
      </xdr:txBody>
    </xdr:sp>
    <xdr:clientData/>
  </xdr:twoCellAnchor>
  <xdr:twoCellAnchor>
    <xdr:from>
      <xdr:col>9</xdr:col>
      <xdr:colOff>295275</xdr:colOff>
      <xdr:row>6</xdr:row>
      <xdr:rowOff>47625</xdr:rowOff>
    </xdr:from>
    <xdr:to>
      <xdr:col>11</xdr:col>
      <xdr:colOff>238125</xdr:colOff>
      <xdr:row>7</xdr:row>
      <xdr:rowOff>142875</xdr:rowOff>
    </xdr:to>
    <xdr:sp macro="" textlink="">
      <xdr:nvSpPr>
        <xdr:cNvPr id="15" name="TextBox 14">
          <a:extLst>
            <a:ext uri="{FF2B5EF4-FFF2-40B4-BE49-F238E27FC236}">
              <a16:creationId xmlns:a16="http://schemas.microsoft.com/office/drawing/2014/main" id="{0FF38199-BF29-121B-2ADE-10EE6FD4E395}"/>
            </a:ext>
          </a:extLst>
        </xdr:cNvPr>
        <xdr:cNvSpPr txBox="1"/>
      </xdr:nvSpPr>
      <xdr:spPr>
        <a:xfrm>
          <a:off x="5781675" y="1190625"/>
          <a:ext cx="11620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a:t>
          </a:r>
          <a:r>
            <a:rPr lang="en-IN" sz="1400" b="1" baseline="0"/>
            <a:t> Orders</a:t>
          </a:r>
          <a:endParaRPr lang="en-IN" sz="1400" b="1"/>
        </a:p>
      </xdr:txBody>
    </xdr:sp>
    <xdr:clientData/>
  </xdr:twoCellAnchor>
  <xdr:twoCellAnchor>
    <xdr:from>
      <xdr:col>16</xdr:col>
      <xdr:colOff>209551</xdr:colOff>
      <xdr:row>6</xdr:row>
      <xdr:rowOff>19050</xdr:rowOff>
    </xdr:from>
    <xdr:to>
      <xdr:col>18</xdr:col>
      <xdr:colOff>352425</xdr:colOff>
      <xdr:row>7</xdr:row>
      <xdr:rowOff>114300</xdr:rowOff>
    </xdr:to>
    <xdr:sp macro="" textlink="">
      <xdr:nvSpPr>
        <xdr:cNvPr id="16" name="TextBox 15">
          <a:extLst>
            <a:ext uri="{FF2B5EF4-FFF2-40B4-BE49-F238E27FC236}">
              <a16:creationId xmlns:a16="http://schemas.microsoft.com/office/drawing/2014/main" id="{9BE4DDD9-EAAA-C956-53E1-809BDFC8D2F5}"/>
            </a:ext>
          </a:extLst>
        </xdr:cNvPr>
        <xdr:cNvSpPr txBox="1"/>
      </xdr:nvSpPr>
      <xdr:spPr>
        <a:xfrm>
          <a:off x="9963151" y="1162050"/>
          <a:ext cx="13620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a:t>
          </a:r>
          <a:r>
            <a:rPr lang="en-IN" sz="1400" b="1" baseline="0"/>
            <a:t> Units Sold</a:t>
          </a:r>
          <a:endParaRPr lang="en-IN" sz="1400" b="1"/>
        </a:p>
      </xdr:txBody>
    </xdr:sp>
    <xdr:clientData/>
  </xdr:twoCellAnchor>
  <xdr:twoCellAnchor>
    <xdr:from>
      <xdr:col>2</xdr:col>
      <xdr:colOff>2722</xdr:colOff>
      <xdr:row>7</xdr:row>
      <xdr:rowOff>180975</xdr:rowOff>
    </xdr:from>
    <xdr:to>
      <xdr:col>4</xdr:col>
      <xdr:colOff>449037</xdr:colOff>
      <xdr:row>10</xdr:row>
      <xdr:rowOff>108857</xdr:rowOff>
    </xdr:to>
    <xdr:sp macro="" textlink="'Pivot Table'!A15">
      <xdr:nvSpPr>
        <xdr:cNvPr id="17" name="TextBox 16">
          <a:extLst>
            <a:ext uri="{FF2B5EF4-FFF2-40B4-BE49-F238E27FC236}">
              <a16:creationId xmlns:a16="http://schemas.microsoft.com/office/drawing/2014/main" id="{C5E519B5-062A-A59F-3D3D-4F5969DD9A92}"/>
            </a:ext>
          </a:extLst>
        </xdr:cNvPr>
        <xdr:cNvSpPr txBox="1"/>
      </xdr:nvSpPr>
      <xdr:spPr>
        <a:xfrm>
          <a:off x="1227365" y="1514475"/>
          <a:ext cx="1670958" cy="499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80BACD4-6CCD-45EC-9B85-5117F7E37F67}" type="TxLink">
            <a:rPr lang="en-US" sz="2400" b="1" i="0" u="none" strike="noStrike">
              <a:solidFill>
                <a:srgbClr val="000000"/>
              </a:solidFill>
              <a:latin typeface="Calibri"/>
              <a:ea typeface="Calibri"/>
              <a:cs typeface="Calibri"/>
            </a:rPr>
            <a:t> ₹ 5,47,611 </a:t>
          </a:fld>
          <a:endParaRPr lang="en-IN" sz="2400" b="1"/>
        </a:p>
      </xdr:txBody>
    </xdr:sp>
    <xdr:clientData/>
  </xdr:twoCellAnchor>
  <xdr:twoCellAnchor>
    <xdr:from>
      <xdr:col>9</xdr:col>
      <xdr:colOff>523875</xdr:colOff>
      <xdr:row>7</xdr:row>
      <xdr:rowOff>171450</xdr:rowOff>
    </xdr:from>
    <xdr:to>
      <xdr:col>10</xdr:col>
      <xdr:colOff>514350</xdr:colOff>
      <xdr:row>10</xdr:row>
      <xdr:rowOff>19049</xdr:rowOff>
    </xdr:to>
    <xdr:sp macro="" textlink="'Pivot Table'!A16">
      <xdr:nvSpPr>
        <xdr:cNvPr id="18" name="TextBox 17">
          <a:extLst>
            <a:ext uri="{FF2B5EF4-FFF2-40B4-BE49-F238E27FC236}">
              <a16:creationId xmlns:a16="http://schemas.microsoft.com/office/drawing/2014/main" id="{09E6E5B6-2943-046D-D4AC-097FF1E798DD}"/>
            </a:ext>
          </a:extLst>
        </xdr:cNvPr>
        <xdr:cNvSpPr txBox="1"/>
      </xdr:nvSpPr>
      <xdr:spPr>
        <a:xfrm>
          <a:off x="6010275" y="1504950"/>
          <a:ext cx="600075" cy="419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F2C89B0-2139-4CF4-AB87-B526C18CA0D0}" type="TxLink">
            <a:rPr lang="en-US" sz="2400" b="1" i="0" u="none" strike="noStrike">
              <a:solidFill>
                <a:srgbClr val="000000"/>
              </a:solidFill>
              <a:effectLst/>
              <a:latin typeface="Calibri"/>
              <a:ea typeface="Calibri"/>
              <a:cs typeface="Calibri"/>
            </a:rPr>
            <a:t>15</a:t>
          </a:fld>
          <a:endParaRPr lang="en-IN" sz="2400" b="1"/>
        </a:p>
      </xdr:txBody>
    </xdr:sp>
    <xdr:clientData/>
  </xdr:twoCellAnchor>
  <xdr:twoCellAnchor>
    <xdr:from>
      <xdr:col>17</xdr:col>
      <xdr:colOff>104776</xdr:colOff>
      <xdr:row>7</xdr:row>
      <xdr:rowOff>171450</xdr:rowOff>
    </xdr:from>
    <xdr:to>
      <xdr:col>17</xdr:col>
      <xdr:colOff>600076</xdr:colOff>
      <xdr:row>10</xdr:row>
      <xdr:rowOff>19049</xdr:rowOff>
    </xdr:to>
    <xdr:sp macro="" textlink="'Pivot Table'!A17">
      <xdr:nvSpPr>
        <xdr:cNvPr id="19" name="TextBox 18">
          <a:extLst>
            <a:ext uri="{FF2B5EF4-FFF2-40B4-BE49-F238E27FC236}">
              <a16:creationId xmlns:a16="http://schemas.microsoft.com/office/drawing/2014/main" id="{E00DD993-E28B-DA12-E5F9-D25A39B1BB9C}"/>
            </a:ext>
          </a:extLst>
        </xdr:cNvPr>
        <xdr:cNvSpPr txBox="1"/>
      </xdr:nvSpPr>
      <xdr:spPr>
        <a:xfrm>
          <a:off x="10467976" y="1504950"/>
          <a:ext cx="495300" cy="419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663A2AE-7740-4474-B822-59DEC67CDCD9}" type="TxLink">
            <a:rPr lang="en-US" sz="2400" b="1" i="0" u="none" strike="noStrike">
              <a:solidFill>
                <a:srgbClr val="000000"/>
              </a:solidFill>
              <a:effectLst/>
              <a:latin typeface="Calibri"/>
              <a:ea typeface="Calibri"/>
              <a:cs typeface="Calibri"/>
            </a:rPr>
            <a:t>84</a:t>
          </a:fld>
          <a:endParaRPr lang="en-IN" sz="2400" b="1"/>
        </a:p>
      </xdr:txBody>
    </xdr:sp>
    <xdr:clientData/>
  </xdr:twoCellAnchor>
  <xdr:twoCellAnchor>
    <xdr:from>
      <xdr:col>0</xdr:col>
      <xdr:colOff>238125</xdr:colOff>
      <xdr:row>11</xdr:row>
      <xdr:rowOff>171450</xdr:rowOff>
    </xdr:from>
    <xdr:to>
      <xdr:col>2</xdr:col>
      <xdr:colOff>495300</xdr:colOff>
      <xdr:row>22</xdr:row>
      <xdr:rowOff>38100</xdr:rowOff>
    </xdr:to>
    <xdr:sp macro="" textlink="">
      <xdr:nvSpPr>
        <xdr:cNvPr id="20" name="Rectangle: Rounded Corners 19">
          <a:extLst>
            <a:ext uri="{FF2B5EF4-FFF2-40B4-BE49-F238E27FC236}">
              <a16:creationId xmlns:a16="http://schemas.microsoft.com/office/drawing/2014/main" id="{309CAE32-EB83-E361-D34D-61D1527EDE83}"/>
            </a:ext>
          </a:extLst>
        </xdr:cNvPr>
        <xdr:cNvSpPr/>
      </xdr:nvSpPr>
      <xdr:spPr>
        <a:xfrm>
          <a:off x="238125" y="2266950"/>
          <a:ext cx="1476375" cy="1962150"/>
        </a:xfrm>
        <a:prstGeom prst="roundRect">
          <a:avLst/>
        </a:prstGeom>
        <a:solidFill>
          <a:schemeClr val="accent1">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219075</xdr:colOff>
      <xdr:row>22</xdr:row>
      <xdr:rowOff>95250</xdr:rowOff>
    </xdr:from>
    <xdr:to>
      <xdr:col>2</xdr:col>
      <xdr:colOff>476250</xdr:colOff>
      <xdr:row>32</xdr:row>
      <xdr:rowOff>152400</xdr:rowOff>
    </xdr:to>
    <xdr:sp macro="" textlink="">
      <xdr:nvSpPr>
        <xdr:cNvPr id="22" name="Rectangle: Rounded Corners 21">
          <a:extLst>
            <a:ext uri="{FF2B5EF4-FFF2-40B4-BE49-F238E27FC236}">
              <a16:creationId xmlns:a16="http://schemas.microsoft.com/office/drawing/2014/main" id="{545CBD8B-B391-284D-CD74-E8BAFDCBCCF8}"/>
            </a:ext>
          </a:extLst>
        </xdr:cNvPr>
        <xdr:cNvSpPr/>
      </xdr:nvSpPr>
      <xdr:spPr>
        <a:xfrm>
          <a:off x="219075" y="4286250"/>
          <a:ext cx="1476375" cy="1962150"/>
        </a:xfrm>
        <a:prstGeom prst="roundRect">
          <a:avLst/>
        </a:prstGeom>
        <a:solidFill>
          <a:schemeClr val="accent1">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276225</xdr:colOff>
      <xdr:row>12</xdr:row>
      <xdr:rowOff>114300</xdr:rowOff>
    </xdr:from>
    <xdr:to>
      <xdr:col>2</xdr:col>
      <xdr:colOff>457200</xdr:colOff>
      <xdr:row>16</xdr:row>
      <xdr:rowOff>152400</xdr:rowOff>
    </xdr:to>
    <xdr:sp macro="" textlink="">
      <xdr:nvSpPr>
        <xdr:cNvPr id="23" name="TextBox 22">
          <a:extLst>
            <a:ext uri="{FF2B5EF4-FFF2-40B4-BE49-F238E27FC236}">
              <a16:creationId xmlns:a16="http://schemas.microsoft.com/office/drawing/2014/main" id="{A7AAA494-EDD6-490E-FB9C-D16F3CE09116}"/>
            </a:ext>
          </a:extLst>
        </xdr:cNvPr>
        <xdr:cNvSpPr txBox="1"/>
      </xdr:nvSpPr>
      <xdr:spPr>
        <a:xfrm>
          <a:off x="276225" y="2400300"/>
          <a:ext cx="1400175"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Highest</a:t>
          </a:r>
          <a:r>
            <a:rPr lang="en-IN" sz="1400" b="1" baseline="0"/>
            <a:t> Selling Product</a:t>
          </a:r>
          <a:endParaRPr lang="en-IN" sz="1400" b="1"/>
        </a:p>
      </xdr:txBody>
    </xdr:sp>
    <xdr:clientData/>
  </xdr:twoCellAnchor>
  <xdr:twoCellAnchor>
    <xdr:from>
      <xdr:col>0</xdr:col>
      <xdr:colOff>266700</xdr:colOff>
      <xdr:row>23</xdr:row>
      <xdr:rowOff>47625</xdr:rowOff>
    </xdr:from>
    <xdr:to>
      <xdr:col>2</xdr:col>
      <xdr:colOff>447675</xdr:colOff>
      <xdr:row>27</xdr:row>
      <xdr:rowOff>85725</xdr:rowOff>
    </xdr:to>
    <xdr:sp macro="" textlink="">
      <xdr:nvSpPr>
        <xdr:cNvPr id="25" name="TextBox 24">
          <a:extLst>
            <a:ext uri="{FF2B5EF4-FFF2-40B4-BE49-F238E27FC236}">
              <a16:creationId xmlns:a16="http://schemas.microsoft.com/office/drawing/2014/main" id="{C97C1043-26C4-7D28-D1C3-108122705FAF}"/>
            </a:ext>
          </a:extLst>
        </xdr:cNvPr>
        <xdr:cNvSpPr txBox="1"/>
      </xdr:nvSpPr>
      <xdr:spPr>
        <a:xfrm>
          <a:off x="266700" y="4429125"/>
          <a:ext cx="1400175"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Highest</a:t>
          </a:r>
          <a:r>
            <a:rPr lang="en-IN" sz="1400" b="1" baseline="0"/>
            <a:t> Performing Region</a:t>
          </a:r>
          <a:endParaRPr lang="en-IN" sz="1400" b="1"/>
        </a:p>
      </xdr:txBody>
    </xdr:sp>
    <xdr:clientData/>
  </xdr:twoCellAnchor>
  <xdr:twoCellAnchor>
    <xdr:from>
      <xdr:col>0</xdr:col>
      <xdr:colOff>438151</xdr:colOff>
      <xdr:row>16</xdr:row>
      <xdr:rowOff>123825</xdr:rowOff>
    </xdr:from>
    <xdr:to>
      <xdr:col>2</xdr:col>
      <xdr:colOff>409575</xdr:colOff>
      <xdr:row>18</xdr:row>
      <xdr:rowOff>161924</xdr:rowOff>
    </xdr:to>
    <xdr:sp macro="" textlink="'Pivot Table'!O13">
      <xdr:nvSpPr>
        <xdr:cNvPr id="26" name="TextBox 25">
          <a:extLst>
            <a:ext uri="{FF2B5EF4-FFF2-40B4-BE49-F238E27FC236}">
              <a16:creationId xmlns:a16="http://schemas.microsoft.com/office/drawing/2014/main" id="{737A6D38-5F30-C586-8CA4-5220A615799E}"/>
            </a:ext>
          </a:extLst>
        </xdr:cNvPr>
        <xdr:cNvSpPr txBox="1"/>
      </xdr:nvSpPr>
      <xdr:spPr>
        <a:xfrm>
          <a:off x="438151" y="3171825"/>
          <a:ext cx="1190624" cy="419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9B53405-F023-4922-8469-6B3E817C2281}" type="TxLink">
            <a:rPr lang="en-US" sz="2400" b="1" i="0" u="none" strike="noStrike">
              <a:solidFill>
                <a:srgbClr val="000000"/>
              </a:solidFill>
              <a:effectLst/>
              <a:latin typeface="Calibri"/>
              <a:ea typeface="Calibri"/>
              <a:cs typeface="Calibri"/>
            </a:rPr>
            <a:t>Mouse</a:t>
          </a:fld>
          <a:endParaRPr lang="en-IN" sz="2400" b="1"/>
        </a:p>
      </xdr:txBody>
    </xdr:sp>
    <xdr:clientData/>
  </xdr:twoCellAnchor>
  <xdr:twoCellAnchor>
    <xdr:from>
      <xdr:col>0</xdr:col>
      <xdr:colOff>530678</xdr:colOff>
      <xdr:row>27</xdr:row>
      <xdr:rowOff>146957</xdr:rowOff>
    </xdr:from>
    <xdr:to>
      <xdr:col>2</xdr:col>
      <xdr:colOff>258535</xdr:colOff>
      <xdr:row>29</xdr:row>
      <xdr:rowOff>185056</xdr:rowOff>
    </xdr:to>
    <xdr:sp macro="" textlink="'Pivot Table'!I12">
      <xdr:nvSpPr>
        <xdr:cNvPr id="27" name="TextBox 26">
          <a:extLst>
            <a:ext uri="{FF2B5EF4-FFF2-40B4-BE49-F238E27FC236}">
              <a16:creationId xmlns:a16="http://schemas.microsoft.com/office/drawing/2014/main" id="{A3640381-A04C-26B1-721D-8DC7F1F8E8A5}"/>
            </a:ext>
          </a:extLst>
        </xdr:cNvPr>
        <xdr:cNvSpPr txBox="1"/>
      </xdr:nvSpPr>
      <xdr:spPr>
        <a:xfrm>
          <a:off x="530678" y="5290457"/>
          <a:ext cx="952500" cy="419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0F8248-9C11-4689-8308-8A25ED122F1E}" type="TxLink">
            <a:rPr lang="en-US" sz="2400" b="1" i="0" u="none" strike="noStrike">
              <a:solidFill>
                <a:srgbClr val="000000"/>
              </a:solidFill>
              <a:effectLst/>
              <a:latin typeface="Calibri"/>
              <a:ea typeface="Calibri"/>
              <a:cs typeface="Calibri"/>
            </a:rPr>
            <a:t>East</a:t>
          </a:fld>
          <a:endParaRPr lang="en-IN" sz="2400" b="1"/>
        </a:p>
      </xdr:txBody>
    </xdr:sp>
    <xdr:clientData/>
  </xdr:twoCellAnchor>
  <xdr:twoCellAnchor>
    <xdr:from>
      <xdr:col>3</xdr:col>
      <xdr:colOff>38100</xdr:colOff>
      <xdr:row>12</xdr:row>
      <xdr:rowOff>19049</xdr:rowOff>
    </xdr:from>
    <xdr:to>
      <xdr:col>7</xdr:col>
      <xdr:colOff>542925</xdr:colOff>
      <xdr:row>32</xdr:row>
      <xdr:rowOff>152400</xdr:rowOff>
    </xdr:to>
    <xdr:sp macro="" textlink="">
      <xdr:nvSpPr>
        <xdr:cNvPr id="30" name="Rectangle: Rounded Corners 29">
          <a:extLst>
            <a:ext uri="{FF2B5EF4-FFF2-40B4-BE49-F238E27FC236}">
              <a16:creationId xmlns:a16="http://schemas.microsoft.com/office/drawing/2014/main" id="{9D042443-947F-BFF2-C1E6-3064986E5B34}"/>
            </a:ext>
          </a:extLst>
        </xdr:cNvPr>
        <xdr:cNvSpPr/>
      </xdr:nvSpPr>
      <xdr:spPr>
        <a:xfrm>
          <a:off x="1866900" y="2305049"/>
          <a:ext cx="2943225" cy="3943351"/>
        </a:xfrm>
        <a:prstGeom prst="roundRect">
          <a:avLst/>
        </a:prstGeom>
        <a:solidFill>
          <a:schemeClr val="accent1">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419100</xdr:colOff>
      <xdr:row>12</xdr:row>
      <xdr:rowOff>1</xdr:rowOff>
    </xdr:from>
    <xdr:to>
      <xdr:col>8</xdr:col>
      <xdr:colOff>66675</xdr:colOff>
      <xdr:row>31</xdr:row>
      <xdr:rowOff>114301</xdr:rowOff>
    </xdr:to>
    <xdr:graphicFrame macro="">
      <xdr:nvGraphicFramePr>
        <xdr:cNvPr id="29" name="Chart 28">
          <a:extLst>
            <a:ext uri="{FF2B5EF4-FFF2-40B4-BE49-F238E27FC236}">
              <a16:creationId xmlns:a16="http://schemas.microsoft.com/office/drawing/2014/main" id="{6CE219E6-5925-4DC1-9827-D02160AE74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66676</xdr:colOff>
      <xdr:row>12</xdr:row>
      <xdr:rowOff>28574</xdr:rowOff>
    </xdr:from>
    <xdr:to>
      <xdr:col>13</xdr:col>
      <xdr:colOff>457200</xdr:colOff>
      <xdr:row>32</xdr:row>
      <xdr:rowOff>161925</xdr:rowOff>
    </xdr:to>
    <xdr:sp macro="" textlink="">
      <xdr:nvSpPr>
        <xdr:cNvPr id="31" name="Rectangle: Rounded Corners 30">
          <a:extLst>
            <a:ext uri="{FF2B5EF4-FFF2-40B4-BE49-F238E27FC236}">
              <a16:creationId xmlns:a16="http://schemas.microsoft.com/office/drawing/2014/main" id="{4D79F53F-8B9C-E87A-F471-FA620267F5A1}"/>
            </a:ext>
          </a:extLst>
        </xdr:cNvPr>
        <xdr:cNvSpPr/>
      </xdr:nvSpPr>
      <xdr:spPr>
        <a:xfrm>
          <a:off x="4943476" y="2314574"/>
          <a:ext cx="3438524" cy="3943351"/>
        </a:xfrm>
        <a:prstGeom prst="roundRect">
          <a:avLst/>
        </a:prstGeom>
        <a:solidFill>
          <a:schemeClr val="accent1">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57150</xdr:colOff>
      <xdr:row>12</xdr:row>
      <xdr:rowOff>28574</xdr:rowOff>
    </xdr:from>
    <xdr:to>
      <xdr:col>20</xdr:col>
      <xdr:colOff>171449</xdr:colOff>
      <xdr:row>32</xdr:row>
      <xdr:rowOff>161925</xdr:rowOff>
    </xdr:to>
    <xdr:sp macro="" textlink="">
      <xdr:nvSpPr>
        <xdr:cNvPr id="32" name="Rectangle: Rounded Corners 31">
          <a:extLst>
            <a:ext uri="{FF2B5EF4-FFF2-40B4-BE49-F238E27FC236}">
              <a16:creationId xmlns:a16="http://schemas.microsoft.com/office/drawing/2014/main" id="{9BA123BB-0E5C-6E90-78C0-0E2C0C2AEC64}"/>
            </a:ext>
          </a:extLst>
        </xdr:cNvPr>
        <xdr:cNvSpPr/>
      </xdr:nvSpPr>
      <xdr:spPr>
        <a:xfrm>
          <a:off x="8591550" y="2314574"/>
          <a:ext cx="3771899" cy="3943351"/>
        </a:xfrm>
        <a:prstGeom prst="roundRect">
          <a:avLst/>
        </a:prstGeom>
        <a:solidFill>
          <a:schemeClr val="accent1">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123825</xdr:colOff>
      <xdr:row>12</xdr:row>
      <xdr:rowOff>9525</xdr:rowOff>
    </xdr:from>
    <xdr:to>
      <xdr:col>13</xdr:col>
      <xdr:colOff>409575</xdr:colOff>
      <xdr:row>32</xdr:row>
      <xdr:rowOff>9525</xdr:rowOff>
    </xdr:to>
    <xdr:graphicFrame macro="">
      <xdr:nvGraphicFramePr>
        <xdr:cNvPr id="33" name="Chart 32">
          <a:extLst>
            <a:ext uri="{FF2B5EF4-FFF2-40B4-BE49-F238E27FC236}">
              <a16:creationId xmlns:a16="http://schemas.microsoft.com/office/drawing/2014/main" id="{CE88B69A-10A8-479B-AAAA-B8EF19AC52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171450</xdr:colOff>
      <xdr:row>12</xdr:row>
      <xdr:rowOff>28573</xdr:rowOff>
    </xdr:from>
    <xdr:to>
      <xdr:col>20</xdr:col>
      <xdr:colOff>228600</xdr:colOff>
      <xdr:row>32</xdr:row>
      <xdr:rowOff>47624</xdr:rowOff>
    </xdr:to>
    <xdr:graphicFrame macro="">
      <xdr:nvGraphicFramePr>
        <xdr:cNvPr id="34" name="Chart 33">
          <a:extLst>
            <a:ext uri="{FF2B5EF4-FFF2-40B4-BE49-F238E27FC236}">
              <a16:creationId xmlns:a16="http://schemas.microsoft.com/office/drawing/2014/main" id="{C1C1513C-8D0E-434A-83AD-E27232389F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21</xdr:col>
      <xdr:colOff>11205</xdr:colOff>
      <xdr:row>0</xdr:row>
      <xdr:rowOff>168088</xdr:rowOff>
    </xdr:from>
    <xdr:to>
      <xdr:col>24</xdr:col>
      <xdr:colOff>24652</xdr:colOff>
      <xdr:row>14</xdr:row>
      <xdr:rowOff>25213</xdr:rowOff>
    </xdr:to>
    <mc:AlternateContent xmlns:mc="http://schemas.openxmlformats.org/markup-compatibility/2006">
      <mc:Choice xmlns:a14="http://schemas.microsoft.com/office/drawing/2010/main" Requires="a14">
        <xdr:graphicFrame macro="">
          <xdr:nvGraphicFramePr>
            <xdr:cNvPr id="35" name="Region">
              <a:extLst>
                <a:ext uri="{FF2B5EF4-FFF2-40B4-BE49-F238E27FC236}">
                  <a16:creationId xmlns:a16="http://schemas.microsoft.com/office/drawing/2014/main" id="{1521549C-8908-48D2-83BB-A7250B7C179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740069" y="168088"/>
              <a:ext cx="1831856"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599515</xdr:colOff>
      <xdr:row>14</xdr:row>
      <xdr:rowOff>117661</xdr:rowOff>
    </xdr:from>
    <xdr:to>
      <xdr:col>24</xdr:col>
      <xdr:colOff>7844</xdr:colOff>
      <xdr:row>27</xdr:row>
      <xdr:rowOff>165286</xdr:rowOff>
    </xdr:to>
    <mc:AlternateContent xmlns:mc="http://schemas.openxmlformats.org/markup-compatibility/2006">
      <mc:Choice xmlns:a14="http://schemas.microsoft.com/office/drawing/2010/main" Requires="a14">
        <xdr:graphicFrame macro="">
          <xdr:nvGraphicFramePr>
            <xdr:cNvPr id="36" name="Salesperson">
              <a:extLst>
                <a:ext uri="{FF2B5EF4-FFF2-40B4-BE49-F238E27FC236}">
                  <a16:creationId xmlns:a16="http://schemas.microsoft.com/office/drawing/2014/main" id="{FE7F6989-F11C-44C4-BB5C-BA6C460CA3F6}"/>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12722242" y="2784661"/>
              <a:ext cx="1832875"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179293</xdr:colOff>
      <xdr:row>0</xdr:row>
      <xdr:rowOff>179294</xdr:rowOff>
    </xdr:from>
    <xdr:to>
      <xdr:col>27</xdr:col>
      <xdr:colOff>192741</xdr:colOff>
      <xdr:row>14</xdr:row>
      <xdr:rowOff>36419</xdr:rowOff>
    </xdr:to>
    <mc:AlternateContent xmlns:mc="http://schemas.openxmlformats.org/markup-compatibility/2006">
      <mc:Choice xmlns:a14="http://schemas.microsoft.com/office/drawing/2010/main" Requires="a14">
        <xdr:graphicFrame macro="">
          <xdr:nvGraphicFramePr>
            <xdr:cNvPr id="37" name="Product">
              <a:extLst>
                <a:ext uri="{FF2B5EF4-FFF2-40B4-BE49-F238E27FC236}">
                  <a16:creationId xmlns:a16="http://schemas.microsoft.com/office/drawing/2014/main" id="{1399D9B1-EFF3-4821-B3B6-61AFE3B64A6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4726566" y="179294"/>
              <a:ext cx="1831857"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173690</xdr:colOff>
      <xdr:row>14</xdr:row>
      <xdr:rowOff>151278</xdr:rowOff>
    </xdr:from>
    <xdr:to>
      <xdr:col>27</xdr:col>
      <xdr:colOff>187138</xdr:colOff>
      <xdr:row>28</xdr:row>
      <xdr:rowOff>8403</xdr:rowOff>
    </xdr:to>
    <mc:AlternateContent xmlns:mc="http://schemas.openxmlformats.org/markup-compatibility/2006">
      <mc:Choice xmlns:a14="http://schemas.microsoft.com/office/drawing/2010/main" Requires="a14">
        <xdr:graphicFrame macro="">
          <xdr:nvGraphicFramePr>
            <xdr:cNvPr id="38" name="Category">
              <a:extLst>
                <a:ext uri="{FF2B5EF4-FFF2-40B4-BE49-F238E27FC236}">
                  <a16:creationId xmlns:a16="http://schemas.microsoft.com/office/drawing/2014/main" id="{EC1C0E25-E023-409F-85A2-4FAC6BD637B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4720963" y="2818278"/>
              <a:ext cx="1831857"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kshit" refreshedDate="46203.9900494213" createdVersion="8" refreshedVersion="8" minRefreshableVersion="3" recordCount="15" xr:uid="{5978725A-3D7E-43AC-AA53-5D5C38CAA82C}">
  <cacheSource type="worksheet">
    <worksheetSource name="Table4"/>
  </cacheSource>
  <cacheFields count="14">
    <cacheField name="Order ID" numFmtId="0">
      <sharedItems containsSemiMixedTypes="0" containsString="0" containsNumber="1" containsInteger="1" minValue="1001" maxValue="1015"/>
    </cacheField>
    <cacheField name="Date" numFmtId="14">
      <sharedItems containsSemiMixedTypes="0" containsNonDate="0" containsDate="1" containsString="0" minDate="2026-06-01T00:00:00" maxDate="2026-06-09T00:00:00" count="8">
        <d v="2026-06-01T00:00:00"/>
        <d v="2026-06-02T00:00:00"/>
        <d v="2026-06-03T00:00:00"/>
        <d v="2026-06-04T00:00:00"/>
        <d v="2026-06-05T00:00:00"/>
        <d v="2026-06-06T00:00:00"/>
        <d v="2026-06-07T00:00:00"/>
        <d v="2026-06-08T00:00:00"/>
      </sharedItems>
    </cacheField>
    <cacheField name="Region" numFmtId="0">
      <sharedItems count="4">
        <s v="North"/>
        <s v="South"/>
        <s v="East"/>
        <s v="West"/>
      </sharedItems>
    </cacheField>
    <cacheField name="Salesperson" numFmtId="0">
      <sharedItems count="4">
        <s v="Rahul"/>
        <s v="Priya"/>
        <s v="Aman"/>
        <s v="Neha"/>
      </sharedItems>
    </cacheField>
    <cacheField name="Product" numFmtId="0">
      <sharedItems count="5">
        <s v="Laptop"/>
        <s v="Mouse"/>
        <s v="Keyboard"/>
        <s v="Monitor"/>
        <s v="Printer"/>
      </sharedItems>
    </cacheField>
    <cacheField name="Category" numFmtId="0">
      <sharedItems count="2">
        <s v="Electronics"/>
        <s v="Accessories"/>
      </sharedItems>
    </cacheField>
    <cacheField name="Units Sold" numFmtId="0">
      <sharedItems containsSemiMixedTypes="0" containsString="0" containsNumber="1" containsInteger="1" minValue="1" maxValue="20" count="10">
        <n v="2"/>
        <n v="10"/>
        <n v="5"/>
        <n v="3"/>
        <n v="1"/>
        <n v="20"/>
        <n v="8"/>
        <n v="15"/>
        <n v="6"/>
        <n v="4"/>
      </sharedItems>
    </cacheField>
    <cacheField name="Unit Price" numFmtId="0">
      <sharedItems containsSemiMixedTypes="0" containsString="0" containsNumber="1" containsInteger="1" minValue="800" maxValue="60000"/>
    </cacheField>
    <cacheField name="Discount (%)" numFmtId="0">
      <sharedItems containsSemiMixedTypes="0" containsString="0" containsNumber="1" containsInteger="1" minValue="0" maxValue="15"/>
    </cacheField>
    <cacheField name="Customer Type" numFmtId="0">
      <sharedItems/>
    </cacheField>
    <cacheField name="Gross Sales" numFmtId="0">
      <sharedItems containsSemiMixedTypes="0" containsString="0" containsNumber="1" containsInteger="1" minValue="7500" maxValue="116000"/>
    </cacheField>
    <cacheField name="Discount Amount" numFmtId="0">
      <sharedItems containsSemiMixedTypes="0" containsString="0" containsNumber="1" containsInteger="1" minValue="0" maxValue="7200"/>
    </cacheField>
    <cacheField name="Net Sales" numFmtId="0">
      <sharedItems containsSemiMixedTypes="0" containsString="0" containsNumber="1" containsInteger="1" minValue="7200" maxValue="110200"/>
    </cacheField>
    <cacheField name="High/Low" numFmtId="0">
      <sharedItems/>
    </cacheField>
  </cacheFields>
  <extLst>
    <ext xmlns:x14="http://schemas.microsoft.com/office/spreadsheetml/2009/9/main" uri="{725AE2AE-9491-48be-B2B4-4EB974FC3084}">
      <x14:pivotCacheDefinition pivotCacheId="2225114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1001"/>
    <x v="0"/>
    <x v="0"/>
    <x v="0"/>
    <x v="0"/>
    <x v="0"/>
    <x v="0"/>
    <n v="55000"/>
    <n v="5"/>
    <s v="Corporate"/>
    <n v="110000"/>
    <n v="5500"/>
    <n v="104500"/>
    <s v="High"/>
  </r>
  <r>
    <n v="1002"/>
    <x v="0"/>
    <x v="1"/>
    <x v="1"/>
    <x v="1"/>
    <x v="1"/>
    <x v="1"/>
    <n v="800"/>
    <n v="10"/>
    <s v="Retail"/>
    <n v="8000"/>
    <n v="800"/>
    <n v="7200"/>
    <s v="Low"/>
  </r>
  <r>
    <n v="1003"/>
    <x v="1"/>
    <x v="2"/>
    <x v="2"/>
    <x v="2"/>
    <x v="1"/>
    <x v="2"/>
    <n v="1500"/>
    <n v="0"/>
    <s v="Retail"/>
    <n v="7500"/>
    <n v="0"/>
    <n v="7500"/>
    <s v="Low"/>
  </r>
  <r>
    <n v="1004"/>
    <x v="1"/>
    <x v="3"/>
    <x v="3"/>
    <x v="3"/>
    <x v="0"/>
    <x v="3"/>
    <n v="12000"/>
    <n v="8"/>
    <s v="Corporate"/>
    <n v="36000"/>
    <n v="2880"/>
    <n v="33120"/>
    <s v="Low"/>
  </r>
  <r>
    <n v="1005"/>
    <x v="2"/>
    <x v="0"/>
    <x v="0"/>
    <x v="4"/>
    <x v="0"/>
    <x v="0"/>
    <n v="18000"/>
    <n v="5"/>
    <s v="Retail"/>
    <n v="36000"/>
    <n v="1800"/>
    <n v="34200"/>
    <s v="Low"/>
  </r>
  <r>
    <n v="1006"/>
    <x v="2"/>
    <x v="1"/>
    <x v="1"/>
    <x v="0"/>
    <x v="0"/>
    <x v="4"/>
    <n v="60000"/>
    <n v="12"/>
    <s v="Corporate"/>
    <n v="60000"/>
    <n v="7200"/>
    <n v="52800"/>
    <s v="High"/>
  </r>
  <r>
    <n v="1007"/>
    <x v="3"/>
    <x v="2"/>
    <x v="2"/>
    <x v="1"/>
    <x v="1"/>
    <x v="5"/>
    <n v="850"/>
    <n v="5"/>
    <s v="Retail"/>
    <n v="17000"/>
    <n v="850"/>
    <n v="16150"/>
    <s v="Low"/>
  </r>
  <r>
    <n v="1008"/>
    <x v="3"/>
    <x v="3"/>
    <x v="3"/>
    <x v="2"/>
    <x v="1"/>
    <x v="6"/>
    <n v="1600"/>
    <n v="0"/>
    <s v="Retail"/>
    <n v="12800"/>
    <n v="0"/>
    <n v="12800"/>
    <s v="Low"/>
  </r>
  <r>
    <n v="1009"/>
    <x v="4"/>
    <x v="0"/>
    <x v="0"/>
    <x v="3"/>
    <x v="0"/>
    <x v="4"/>
    <n v="12500"/>
    <n v="15"/>
    <s v="Corporate"/>
    <n v="12500"/>
    <n v="1875"/>
    <n v="10625"/>
    <s v="Low"/>
  </r>
  <r>
    <n v="1010"/>
    <x v="4"/>
    <x v="1"/>
    <x v="1"/>
    <x v="4"/>
    <x v="0"/>
    <x v="3"/>
    <n v="17500"/>
    <n v="10"/>
    <s v="Retail"/>
    <n v="52500"/>
    <n v="5250"/>
    <n v="47250"/>
    <s v="Low"/>
  </r>
  <r>
    <n v="1011"/>
    <x v="5"/>
    <x v="2"/>
    <x v="2"/>
    <x v="0"/>
    <x v="0"/>
    <x v="0"/>
    <n v="58000"/>
    <n v="5"/>
    <s v="Corporate"/>
    <n v="116000"/>
    <n v="5800"/>
    <n v="110200"/>
    <s v="High"/>
  </r>
  <r>
    <n v="1012"/>
    <x v="5"/>
    <x v="3"/>
    <x v="3"/>
    <x v="1"/>
    <x v="1"/>
    <x v="7"/>
    <n v="900"/>
    <n v="0"/>
    <s v="Retail"/>
    <n v="13500"/>
    <n v="0"/>
    <n v="13500"/>
    <s v="Low"/>
  </r>
  <r>
    <n v="1013"/>
    <x v="6"/>
    <x v="0"/>
    <x v="0"/>
    <x v="2"/>
    <x v="1"/>
    <x v="8"/>
    <n v="1550"/>
    <n v="10"/>
    <s v="Corporate"/>
    <n v="9300"/>
    <n v="930"/>
    <n v="8370"/>
    <s v="Low"/>
  </r>
  <r>
    <n v="1014"/>
    <x v="6"/>
    <x v="1"/>
    <x v="1"/>
    <x v="3"/>
    <x v="0"/>
    <x v="0"/>
    <n v="11800"/>
    <n v="5"/>
    <s v="Retail"/>
    <n v="23600"/>
    <n v="1180"/>
    <n v="22420"/>
    <s v="Low"/>
  </r>
  <r>
    <n v="1015"/>
    <x v="7"/>
    <x v="2"/>
    <x v="2"/>
    <x v="4"/>
    <x v="0"/>
    <x v="9"/>
    <n v="18200"/>
    <n v="8"/>
    <s v="Corporate"/>
    <n v="72800"/>
    <n v="5824"/>
    <n v="66976"/>
    <s v="Hig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D7A165-0DD0-4629-ADBA-E9E174280606}" name="PivotTable1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X4:Y13" firstHeaderRow="1" firstDataRow="1" firstDataCol="1"/>
  <pivotFields count="14">
    <pivotField showAll="0"/>
    <pivotField axis="axisRow" numFmtId="14" showAll="0">
      <items count="9">
        <item x="0"/>
        <item x="1"/>
        <item x="2"/>
        <item x="3"/>
        <item x="4"/>
        <item x="5"/>
        <item x="6"/>
        <item x="7"/>
        <item t="default"/>
      </items>
    </pivotField>
    <pivotField showAll="0">
      <items count="5">
        <item x="2"/>
        <item x="0"/>
        <item x="1"/>
        <item x="3"/>
        <item t="default"/>
      </items>
    </pivotField>
    <pivotField showAll="0">
      <items count="5">
        <item x="2"/>
        <item x="3"/>
        <item x="1"/>
        <item x="0"/>
        <item t="default"/>
      </items>
    </pivotField>
    <pivotField showAll="0">
      <items count="6">
        <item x="2"/>
        <item x="0"/>
        <item x="3"/>
        <item x="1"/>
        <item x="4"/>
        <item t="default"/>
      </items>
    </pivotField>
    <pivotField showAll="0">
      <items count="3">
        <item x="1"/>
        <item x="0"/>
        <item t="default"/>
      </items>
    </pivotField>
    <pivotField showAll="0"/>
    <pivotField showAll="0"/>
    <pivotField showAll="0"/>
    <pivotField showAll="0"/>
    <pivotField showAll="0"/>
    <pivotField showAll="0"/>
    <pivotField dataField="1" showAll="0"/>
    <pivotField showAll="0"/>
  </pivotFields>
  <rowFields count="1">
    <field x="1"/>
  </rowFields>
  <rowItems count="9">
    <i>
      <x/>
    </i>
    <i>
      <x v="1"/>
    </i>
    <i>
      <x v="2"/>
    </i>
    <i>
      <x v="3"/>
    </i>
    <i>
      <x v="4"/>
    </i>
    <i>
      <x v="5"/>
    </i>
    <i>
      <x v="6"/>
    </i>
    <i>
      <x v="7"/>
    </i>
    <i t="grand">
      <x/>
    </i>
  </rowItems>
  <colItems count="1">
    <i/>
  </colItems>
  <dataFields count="1">
    <dataField name="Sum of Net Sales" fld="12" baseField="0" baseItem="0"/>
  </dataFields>
  <chartFormats count="5">
    <chartFormat chart="13"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872E76-2A3E-400C-83DB-780347A99038}" name="PivotTable1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U4:V9" firstHeaderRow="1" firstDataRow="1" firstDataCol="1"/>
  <pivotFields count="14">
    <pivotField showAll="0"/>
    <pivotField numFmtId="14" showAll="0"/>
    <pivotField showAll="0">
      <items count="5">
        <item x="2"/>
        <item x="0"/>
        <item x="1"/>
        <item x="3"/>
        <item t="default"/>
      </items>
    </pivotField>
    <pivotField axis="axisRow" showAll="0">
      <items count="5">
        <item x="2"/>
        <item x="3"/>
        <item x="1"/>
        <item x="0"/>
        <item t="default"/>
      </items>
    </pivotField>
    <pivotField showAll="0">
      <items count="6">
        <item x="2"/>
        <item x="0"/>
        <item x="3"/>
        <item x="1"/>
        <item x="4"/>
        <item t="default"/>
      </items>
    </pivotField>
    <pivotField showAll="0">
      <items count="3">
        <item x="1"/>
        <item x="0"/>
        <item t="default"/>
      </items>
    </pivotField>
    <pivotField showAll="0"/>
    <pivotField showAll="0"/>
    <pivotField showAll="0"/>
    <pivotField showAll="0"/>
    <pivotField showAll="0"/>
    <pivotField showAll="0"/>
    <pivotField dataField="1" showAll="0"/>
    <pivotField showAll="0"/>
  </pivotFields>
  <rowFields count="1">
    <field x="3"/>
  </rowFields>
  <rowItems count="5">
    <i>
      <x/>
    </i>
    <i>
      <x v="1"/>
    </i>
    <i>
      <x v="2"/>
    </i>
    <i>
      <x v="3"/>
    </i>
    <i t="grand">
      <x/>
    </i>
  </rowItems>
  <colItems count="1">
    <i/>
  </colItems>
  <dataFields count="1">
    <dataField name="Sum of Net Sales" fld="12" baseField="0" baseItem="0"/>
  </dataFields>
  <chartFormats count="1">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079D6D-4513-4401-B7D7-5F20C314FEC8}" name="PivotTable10"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R4:S7" firstHeaderRow="1" firstDataRow="1" firstDataCol="1"/>
  <pivotFields count="14">
    <pivotField showAll="0"/>
    <pivotField numFmtId="14" showAll="0"/>
    <pivotField showAll="0">
      <items count="5">
        <item x="2"/>
        <item x="0"/>
        <item x="1"/>
        <item x="3"/>
        <item t="default"/>
      </items>
    </pivotField>
    <pivotField showAll="0">
      <items count="5">
        <item x="2"/>
        <item x="3"/>
        <item x="1"/>
        <item x="0"/>
        <item t="default"/>
      </items>
    </pivotField>
    <pivotField showAll="0">
      <items count="6">
        <item x="2"/>
        <item x="0"/>
        <item x="3"/>
        <item x="1"/>
        <item x="4"/>
        <item t="default"/>
      </items>
    </pivotField>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s>
  <rowFields count="1">
    <field x="5"/>
  </rowFields>
  <rowItems count="3">
    <i>
      <x v="1"/>
    </i>
    <i>
      <x/>
    </i>
    <i t="grand">
      <x/>
    </i>
  </rowItems>
  <colItems count="1">
    <i/>
  </colItems>
  <dataFields count="1">
    <dataField name="Sum of Net Sales" fld="12" baseField="0" baseItem="0"/>
  </dataFields>
  <chartFormats count="3">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5" count="1" selected="0">
            <x v="1"/>
          </reference>
        </references>
      </pivotArea>
    </chartFormat>
    <chartFormat chart="7" format="6">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C8C2CB-EFDE-46B5-A5BB-70702744383E}" name="PivotTable9"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4:P10" firstHeaderRow="1" firstDataRow="1" firstDataCol="1"/>
  <pivotFields count="14">
    <pivotField showAll="0"/>
    <pivotField numFmtId="14" showAll="0"/>
    <pivotField showAll="0">
      <items count="5">
        <item x="2"/>
        <item x="0"/>
        <item x="1"/>
        <item x="3"/>
        <item t="default"/>
      </items>
    </pivotField>
    <pivotField showAll="0">
      <items count="5">
        <item x="2"/>
        <item x="3"/>
        <item x="1"/>
        <item x="0"/>
        <item t="default"/>
      </items>
    </pivotField>
    <pivotField axis="axisRow" showAll="0" sortType="descending">
      <items count="6">
        <item x="2"/>
        <item x="0"/>
        <item x="3"/>
        <item x="1"/>
        <item x="4"/>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dataField="1" showAll="0"/>
    <pivotField showAll="0"/>
    <pivotField showAll="0"/>
    <pivotField showAll="0"/>
    <pivotField showAll="0"/>
    <pivotField showAll="0"/>
    <pivotField showAll="0"/>
    <pivotField showAll="0"/>
  </pivotFields>
  <rowFields count="1">
    <field x="4"/>
  </rowFields>
  <rowItems count="6">
    <i>
      <x v="3"/>
    </i>
    <i>
      <x/>
    </i>
    <i>
      <x v="4"/>
    </i>
    <i>
      <x v="2"/>
    </i>
    <i>
      <x v="1"/>
    </i>
    <i t="grand">
      <x/>
    </i>
  </rowItems>
  <colItems count="1">
    <i/>
  </colItems>
  <dataFields count="1">
    <dataField name="Sum of Units Sold" fld="6"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FF2705-2560-4F4A-9D4F-8CE38CB260DD}" name="PivotTable8"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J9" firstHeaderRow="1" firstDataRow="1" firstDataCol="1"/>
  <pivotFields count="14">
    <pivotField showAll="0"/>
    <pivotField numFmtId="14" showAll="0"/>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items count="5">
        <item x="2"/>
        <item x="3"/>
        <item x="1"/>
        <item x="0"/>
        <item t="default"/>
      </items>
    </pivotField>
    <pivotField showAll="0">
      <items count="6">
        <item x="2"/>
        <item x="0"/>
        <item x="3"/>
        <item x="1"/>
        <item x="4"/>
        <item t="default"/>
      </items>
    </pivotField>
    <pivotField showAll="0">
      <items count="3">
        <item x="1"/>
        <item x="0"/>
        <item t="default"/>
      </items>
    </pivotField>
    <pivotField showAll="0"/>
    <pivotField showAll="0"/>
    <pivotField showAll="0"/>
    <pivotField showAll="0"/>
    <pivotField showAll="0"/>
    <pivotField showAll="0"/>
    <pivotField dataField="1" showAll="0"/>
    <pivotField showAll="0"/>
  </pivotFields>
  <rowFields count="1">
    <field x="2"/>
  </rowFields>
  <rowItems count="5">
    <i>
      <x/>
    </i>
    <i>
      <x v="1"/>
    </i>
    <i>
      <x v="2"/>
    </i>
    <i>
      <x v="3"/>
    </i>
    <i t="grand">
      <x/>
    </i>
  </rowItems>
  <colItems count="1">
    <i/>
  </colItems>
  <dataFields count="1">
    <dataField name="Sum of Net Sale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1CF261-2BA5-46E1-87A8-E4018C5ACA1E}" name="PivotTable6"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14">
    <pivotField showAll="0"/>
    <pivotField numFmtId="14" showAll="0"/>
    <pivotField showAll="0">
      <items count="5">
        <item x="2"/>
        <item x="0"/>
        <item x="1"/>
        <item x="3"/>
        <item t="default"/>
      </items>
    </pivotField>
    <pivotField showAll="0">
      <items count="5">
        <item x="2"/>
        <item x="3"/>
        <item x="1"/>
        <item x="0"/>
        <item t="default"/>
      </items>
    </pivotField>
    <pivotField showAll="0">
      <items count="6">
        <item x="2"/>
        <item x="0"/>
        <item x="3"/>
        <item x="1"/>
        <item x="4"/>
        <item t="default"/>
      </items>
    </pivotField>
    <pivotField showAll="0">
      <items count="3">
        <item x="1"/>
        <item x="0"/>
        <item t="default"/>
      </items>
    </pivotField>
    <pivotField dataField="1" showAll="0"/>
    <pivotField showAll="0"/>
    <pivotField showAll="0"/>
    <pivotField showAll="0"/>
    <pivotField showAll="0"/>
    <pivotField showAll="0"/>
    <pivotField showAll="0"/>
    <pivotField showAll="0"/>
  </pivotFields>
  <rowItems count="1">
    <i/>
  </rowItems>
  <colItems count="1">
    <i/>
  </colItems>
  <dataFields count="1">
    <dataField name="Sum of Units Sol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FDAF37E-3F3E-483F-AAAE-58867BBF27C7}"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4">
    <pivotField dataField="1" showAll="0"/>
    <pivotField numFmtId="14" showAll="0"/>
    <pivotField showAll="0">
      <items count="5">
        <item x="2"/>
        <item x="0"/>
        <item x="1"/>
        <item x="3"/>
        <item t="default"/>
      </items>
    </pivotField>
    <pivotField showAll="0">
      <items count="5">
        <item x="2"/>
        <item x="3"/>
        <item x="1"/>
        <item x="0"/>
        <item t="default"/>
      </items>
    </pivotField>
    <pivotField showAll="0">
      <items count="6">
        <item x="2"/>
        <item x="0"/>
        <item x="3"/>
        <item x="1"/>
        <item x="4"/>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0107E3C-0332-4FA6-BC76-FE0F58A3B30B}"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showAll="0"/>
    <pivotField numFmtId="14" showAll="0"/>
    <pivotField showAll="0">
      <items count="5">
        <item x="2"/>
        <item x="0"/>
        <item x="1"/>
        <item x="3"/>
        <item t="default"/>
      </items>
    </pivotField>
    <pivotField showAll="0">
      <items count="5">
        <item x="2"/>
        <item x="3"/>
        <item x="1"/>
        <item x="0"/>
        <item t="default"/>
      </items>
    </pivotField>
    <pivotField showAll="0">
      <items count="6">
        <item x="2"/>
        <item x="0"/>
        <item x="3"/>
        <item x="1"/>
        <item x="4"/>
        <item t="default"/>
      </items>
    </pivotField>
    <pivotField showAll="0">
      <items count="3">
        <item x="1"/>
        <item x="0"/>
        <item t="default"/>
      </items>
    </pivotField>
    <pivotField showAll="0"/>
    <pivotField showAll="0"/>
    <pivotField showAll="0"/>
    <pivotField showAll="0"/>
    <pivotField showAll="0"/>
    <pivotField showAll="0"/>
    <pivotField dataField="1" showAll="0"/>
    <pivotField showAll="0"/>
  </pivotFields>
  <rowItems count="1">
    <i/>
  </rowItems>
  <colItems count="1">
    <i/>
  </colItems>
  <dataFields count="1">
    <dataField name="Sum of Net Sale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73AB692-D8F8-4D73-A2BC-92F53DABEDD1}" sourceName="Region">
  <pivotTables>
    <pivotTable tabId="10" name="PivotTable8"/>
    <pivotTable tabId="10" name="PivotTable10"/>
    <pivotTable tabId="10" name="PivotTable11"/>
    <pivotTable tabId="10" name="PivotTable12"/>
    <pivotTable tabId="10" name="PivotTable4"/>
    <pivotTable tabId="10" name="PivotTable5"/>
    <pivotTable tabId="10" name="PivotTable6"/>
    <pivotTable tabId="10" name="PivotTable9"/>
  </pivotTables>
  <data>
    <tabular pivotCacheId="222511477">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13167FE7-FA62-4191-BCCF-92A4811581E6}" sourceName="Salesperson">
  <pivotTables>
    <pivotTable tabId="10" name="PivotTable8"/>
    <pivotTable tabId="10" name="PivotTable10"/>
    <pivotTable tabId="10" name="PivotTable11"/>
    <pivotTable tabId="10" name="PivotTable12"/>
    <pivotTable tabId="10" name="PivotTable4"/>
    <pivotTable tabId="10" name="PivotTable5"/>
    <pivotTable tabId="10" name="PivotTable6"/>
    <pivotTable tabId="10" name="PivotTable9"/>
  </pivotTables>
  <data>
    <tabular pivotCacheId="222511477">
      <items count="4">
        <i x="2"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6804D85-7F14-4DCF-B047-701A216BED69}" sourceName="Product">
  <pivotTables>
    <pivotTable tabId="10" name="PivotTable8"/>
    <pivotTable tabId="10" name="PivotTable10"/>
    <pivotTable tabId="10" name="PivotTable11"/>
    <pivotTable tabId="10" name="PivotTable12"/>
    <pivotTable tabId="10" name="PivotTable4"/>
    <pivotTable tabId="10" name="PivotTable5"/>
    <pivotTable tabId="10" name="PivotTable6"/>
    <pivotTable tabId="10" name="PivotTable9"/>
  </pivotTables>
  <data>
    <tabular pivotCacheId="222511477">
      <items count="5">
        <i x="2" s="1"/>
        <i x="0" s="1"/>
        <i x="3"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3803A1A-5E32-4979-8CC5-BD432FF41D00}" sourceName="Category">
  <pivotTables>
    <pivotTable tabId="10" name="PivotTable8"/>
    <pivotTable tabId="10" name="PivotTable10"/>
    <pivotTable tabId="10" name="PivotTable11"/>
    <pivotTable tabId="10" name="PivotTable12"/>
    <pivotTable tabId="10" name="PivotTable4"/>
    <pivotTable tabId="10" name="PivotTable5"/>
    <pivotTable tabId="10" name="PivotTable6"/>
    <pivotTable tabId="10" name="PivotTable9"/>
  </pivotTables>
  <data>
    <tabular pivotCacheId="22251147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F0300C5-F7A7-4ADE-9188-248C195D3DFF}" cache="Slicer_Region" caption="Region" rowHeight="241300"/>
  <slicer name="Salesperson" xr10:uid="{EA367F33-9641-47FE-BC34-3A68F2EF1070}" cache="Slicer_Salesperson" caption="Salesperson" rowHeight="241300"/>
  <slicer name="Product" xr10:uid="{11B4C0E6-50D1-4AD3-BA6B-0D955C756BFF}" cache="Slicer_Product" caption="Product" rowHeight="241300"/>
  <slicer name="Category" xr10:uid="{6A795EAA-DD0A-4197-8382-75A75AFE26CA}"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D754FA5-0C1A-4D42-BB98-D40555D1880A}" name="Table4" displayName="Table4" ref="A1:N16" totalsRowShown="0" headerRowDxfId="0" headerRowBorderDxfId="16" tableBorderDxfId="17" totalsRowBorderDxfId="15">
  <autoFilter ref="A1:N16" xr:uid="{ED754FA5-0C1A-4D42-BB98-D40555D1880A}"/>
  <tableColumns count="14">
    <tableColumn id="1" xr3:uid="{128F237D-8988-4B0A-B8D4-F446AA4E4408}" name="Order ID" dataDxfId="14"/>
    <tableColumn id="2" xr3:uid="{D4DCB086-0D4E-402E-8ADF-71D1642B1CF2}" name="Date" dataDxfId="13"/>
    <tableColumn id="3" xr3:uid="{E51C2E2F-B220-4B6F-B5AF-7D32B9DE4679}" name="Region" dataDxfId="12"/>
    <tableColumn id="4" xr3:uid="{F10EE2BA-E351-4BF5-8700-E2A78B1DCDAE}" name="Salesperson" dataDxfId="11"/>
    <tableColumn id="5" xr3:uid="{3B31C959-BB85-4B0B-8599-9A65DEEF6EF1}" name="Product" dataDxfId="10"/>
    <tableColumn id="6" xr3:uid="{9706C316-9EF4-44BF-9942-3194225734EF}" name="Category" dataDxfId="9"/>
    <tableColumn id="7" xr3:uid="{D4E9D667-07C5-4245-A786-08C1B201D027}" name="Units Sold" dataDxfId="8"/>
    <tableColumn id="8" xr3:uid="{0EECA87E-E285-4DCD-BAF4-8805C961350C}" name="Unit Price" dataDxfId="7"/>
    <tableColumn id="9" xr3:uid="{31C404E9-C3B7-4F43-BC6F-1AC4C3371EB6}" name="Discount (%)" dataDxfId="6"/>
    <tableColumn id="10" xr3:uid="{24687B0C-B45B-4C3A-8B1D-6B1D58977AC0}" name="Customer Type" dataDxfId="5"/>
    <tableColumn id="11" xr3:uid="{CAFD6CF0-AC9C-4A5B-9C58-4EFE7FBCCEBC}" name="Gross Sales" dataDxfId="4">
      <calculatedColumnFormula>PRODUCT(G2,H2)</calculatedColumnFormula>
    </tableColumn>
    <tableColumn id="12" xr3:uid="{7D29054D-2D06-48DB-9FA2-F1ACA3E8474F}" name="Discount Amount" dataDxfId="3">
      <calculatedColumnFormula>PRODUCT(K2,I2%)</calculatedColumnFormula>
    </tableColumn>
    <tableColumn id="13" xr3:uid="{CE874D77-618E-44AF-9628-E6F9738FF88A}" name="Net Sales" dataDxfId="2">
      <calculatedColumnFormula>K2-L2</calculatedColumnFormula>
    </tableColumn>
    <tableColumn id="14" xr3:uid="{4034568F-F771-43F2-B979-9CAC57B3615C}" name="High/Low" dataDxfId="1">
      <calculatedColumnFormula>IF(M2&gt;=50000,"High","Low")</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6C779-B402-47F7-8748-6253A624E801}">
  <dimension ref="A1:V37"/>
  <sheetViews>
    <sheetView workbookViewId="0">
      <selection activeCell="C12" sqref="C12"/>
    </sheetView>
  </sheetViews>
  <sheetFormatPr defaultRowHeight="15" x14ac:dyDescent="0.25"/>
  <cols>
    <col min="1" max="1" width="8.42578125" bestFit="1" customWidth="1"/>
    <col min="2" max="2" width="10.42578125" bestFit="1" customWidth="1"/>
    <col min="3" max="3" width="11.7109375" bestFit="1" customWidth="1"/>
    <col min="4" max="4" width="16.28515625" bestFit="1" customWidth="1"/>
    <col min="5" max="5" width="12.42578125" bestFit="1" customWidth="1"/>
    <col min="6" max="6" width="13.42578125" bestFit="1" customWidth="1"/>
    <col min="7" max="7" width="10" bestFit="1" customWidth="1"/>
    <col min="8" max="8" width="9.7109375" bestFit="1" customWidth="1"/>
    <col min="9" max="9" width="12.140625" bestFit="1" customWidth="1"/>
    <col min="10" max="10" width="19" bestFit="1" customWidth="1"/>
    <col min="11" max="11" width="11" bestFit="1" customWidth="1"/>
    <col min="12" max="12" width="16.42578125" bestFit="1" customWidth="1"/>
    <col min="13" max="13" width="9.28515625" bestFit="1" customWidth="1"/>
    <col min="14" max="14" width="9.42578125" bestFit="1" customWidth="1"/>
    <col min="15" max="15" width="24.42578125" bestFit="1" customWidth="1"/>
    <col min="16" max="16" width="16.5703125" bestFit="1" customWidth="1"/>
    <col min="18" max="18" width="22.28515625" bestFit="1" customWidth="1"/>
    <col min="19" max="19" width="12.5703125" bestFit="1" customWidth="1"/>
    <col min="20" max="20" width="11.28515625" bestFit="1" customWidth="1"/>
    <col min="22" max="22" width="11.7109375" bestFit="1" customWidth="1"/>
  </cols>
  <sheetData>
    <row r="1" spans="1:22" s="27" customFormat="1" x14ac:dyDescent="0.25">
      <c r="A1" s="24" t="s">
        <v>0</v>
      </c>
      <c r="B1" s="25" t="s">
        <v>1</v>
      </c>
      <c r="C1" s="25" t="s">
        <v>2</v>
      </c>
      <c r="D1" s="25" t="s">
        <v>3</v>
      </c>
      <c r="E1" s="25" t="s">
        <v>4</v>
      </c>
      <c r="F1" s="25" t="s">
        <v>5</v>
      </c>
      <c r="G1" s="26" t="s">
        <v>6</v>
      </c>
      <c r="H1" s="26" t="s">
        <v>7</v>
      </c>
      <c r="I1" s="26" t="s">
        <v>8</v>
      </c>
      <c r="J1" s="25" t="s">
        <v>9</v>
      </c>
      <c r="K1" s="26" t="s">
        <v>27</v>
      </c>
      <c r="L1" s="26" t="s">
        <v>28</v>
      </c>
      <c r="M1" s="26" t="s">
        <v>29</v>
      </c>
      <c r="N1" s="26" t="s">
        <v>30</v>
      </c>
      <c r="R1" s="28"/>
      <c r="T1" s="28"/>
      <c r="V1" s="28"/>
    </row>
    <row r="2" spans="1:22" x14ac:dyDescent="0.25">
      <c r="A2" s="17">
        <v>1001</v>
      </c>
      <c r="B2" s="2">
        <v>46174</v>
      </c>
      <c r="C2" s="3" t="s">
        <v>10</v>
      </c>
      <c r="D2" s="3" t="s">
        <v>11</v>
      </c>
      <c r="E2" s="3" t="s">
        <v>12</v>
      </c>
      <c r="F2" s="3" t="s">
        <v>13</v>
      </c>
      <c r="G2" s="4">
        <v>2</v>
      </c>
      <c r="H2" s="1">
        <v>55000</v>
      </c>
      <c r="I2" s="1">
        <v>5</v>
      </c>
      <c r="J2" s="3" t="s">
        <v>14</v>
      </c>
      <c r="K2" s="5">
        <f>PRODUCT(G2,H2)</f>
        <v>110000</v>
      </c>
      <c r="L2" s="5">
        <f>PRODUCT(K2,I2%)</f>
        <v>5500</v>
      </c>
      <c r="M2" s="5">
        <f>K2-L2</f>
        <v>104500</v>
      </c>
      <c r="N2" s="5" t="str">
        <f>IF(M2&gt;=50000,"High","Low")</f>
        <v>High</v>
      </c>
      <c r="O2" s="12"/>
      <c r="R2" s="7"/>
      <c r="T2" s="6"/>
      <c r="V2" s="6"/>
    </row>
    <row r="3" spans="1:22" x14ac:dyDescent="0.25">
      <c r="A3" s="17">
        <v>1002</v>
      </c>
      <c r="B3" s="2">
        <v>46174</v>
      </c>
      <c r="C3" s="3" t="s">
        <v>15</v>
      </c>
      <c r="D3" s="3" t="s">
        <v>16</v>
      </c>
      <c r="E3" s="3" t="s">
        <v>17</v>
      </c>
      <c r="F3" s="3" t="s">
        <v>18</v>
      </c>
      <c r="G3" s="4">
        <v>10</v>
      </c>
      <c r="H3" s="1">
        <v>800</v>
      </c>
      <c r="I3" s="1">
        <v>10</v>
      </c>
      <c r="J3" s="3" t="s">
        <v>19</v>
      </c>
      <c r="K3" s="5">
        <f t="shared" ref="K3:K16" si="0">PRODUCT(G3,H3)</f>
        <v>8000</v>
      </c>
      <c r="L3" s="5">
        <f t="shared" ref="L3:L16" si="1">PRODUCT(K3,I3%)</f>
        <v>800</v>
      </c>
      <c r="M3" s="5">
        <f t="shared" ref="M3:M16" si="2">K3-L3</f>
        <v>7200</v>
      </c>
      <c r="N3" s="5" t="str">
        <f t="shared" ref="N3:N16" si="3">IF(M3&gt;=50000,"High","Low")</f>
        <v>Low</v>
      </c>
      <c r="O3" s="12"/>
      <c r="R3" s="7"/>
      <c r="T3" s="6"/>
      <c r="V3" s="6"/>
    </row>
    <row r="4" spans="1:22" x14ac:dyDescent="0.25">
      <c r="A4" s="17">
        <v>1003</v>
      </c>
      <c r="B4" s="2">
        <v>46175</v>
      </c>
      <c r="C4" s="3" t="s">
        <v>20</v>
      </c>
      <c r="D4" s="3" t="s">
        <v>21</v>
      </c>
      <c r="E4" s="3" t="s">
        <v>22</v>
      </c>
      <c r="F4" s="3" t="s">
        <v>18</v>
      </c>
      <c r="G4" s="4">
        <v>5</v>
      </c>
      <c r="H4" s="1">
        <v>1500</v>
      </c>
      <c r="I4" s="1">
        <v>0</v>
      </c>
      <c r="J4" s="3" t="s">
        <v>19</v>
      </c>
      <c r="K4" s="5">
        <f t="shared" si="0"/>
        <v>7500</v>
      </c>
      <c r="L4" s="5">
        <f t="shared" si="1"/>
        <v>0</v>
      </c>
      <c r="M4" s="5">
        <f t="shared" si="2"/>
        <v>7500</v>
      </c>
      <c r="N4" s="5" t="str">
        <f t="shared" si="3"/>
        <v>Low</v>
      </c>
      <c r="O4" s="12"/>
      <c r="P4" s="13"/>
      <c r="R4" s="7"/>
      <c r="V4" s="6"/>
    </row>
    <row r="5" spans="1:22" x14ac:dyDescent="0.25">
      <c r="A5" s="17">
        <v>1004</v>
      </c>
      <c r="B5" s="2">
        <v>46175</v>
      </c>
      <c r="C5" s="3" t="s">
        <v>23</v>
      </c>
      <c r="D5" s="3" t="s">
        <v>24</v>
      </c>
      <c r="E5" s="3" t="s">
        <v>25</v>
      </c>
      <c r="F5" s="3" t="s">
        <v>13</v>
      </c>
      <c r="G5" s="4">
        <v>3</v>
      </c>
      <c r="H5" s="1">
        <v>12000</v>
      </c>
      <c r="I5" s="1">
        <v>8</v>
      </c>
      <c r="J5" s="3" t="s">
        <v>14</v>
      </c>
      <c r="K5" s="5">
        <f t="shared" si="0"/>
        <v>36000</v>
      </c>
      <c r="L5" s="5">
        <f t="shared" si="1"/>
        <v>2880</v>
      </c>
      <c r="M5" s="5">
        <f t="shared" si="2"/>
        <v>33120</v>
      </c>
      <c r="N5" s="5" t="str">
        <f t="shared" si="3"/>
        <v>Low</v>
      </c>
      <c r="O5" s="12"/>
      <c r="P5" s="13"/>
      <c r="R5" s="7"/>
      <c r="V5" s="6"/>
    </row>
    <row r="6" spans="1:22" x14ac:dyDescent="0.25">
      <c r="A6" s="17">
        <v>1005</v>
      </c>
      <c r="B6" s="2">
        <v>46176</v>
      </c>
      <c r="C6" s="3" t="s">
        <v>10</v>
      </c>
      <c r="D6" s="3" t="s">
        <v>11</v>
      </c>
      <c r="E6" s="3" t="s">
        <v>26</v>
      </c>
      <c r="F6" s="3" t="s">
        <v>13</v>
      </c>
      <c r="G6" s="4">
        <v>2</v>
      </c>
      <c r="H6" s="1">
        <v>18000</v>
      </c>
      <c r="I6" s="1">
        <v>5</v>
      </c>
      <c r="J6" s="3" t="s">
        <v>19</v>
      </c>
      <c r="K6" s="5">
        <f t="shared" si="0"/>
        <v>36000</v>
      </c>
      <c r="L6" s="5">
        <f t="shared" si="1"/>
        <v>1800</v>
      </c>
      <c r="M6" s="5">
        <f t="shared" si="2"/>
        <v>34200</v>
      </c>
      <c r="N6" s="5" t="str">
        <f t="shared" si="3"/>
        <v>Low</v>
      </c>
      <c r="O6" s="12"/>
      <c r="P6" s="13"/>
    </row>
    <row r="7" spans="1:22" x14ac:dyDescent="0.25">
      <c r="A7" s="17">
        <v>1006</v>
      </c>
      <c r="B7" s="2">
        <v>46176</v>
      </c>
      <c r="C7" s="3" t="s">
        <v>15</v>
      </c>
      <c r="D7" s="3" t="s">
        <v>16</v>
      </c>
      <c r="E7" s="3" t="s">
        <v>12</v>
      </c>
      <c r="F7" s="3" t="s">
        <v>13</v>
      </c>
      <c r="G7" s="4">
        <v>1</v>
      </c>
      <c r="H7" s="1">
        <v>60000</v>
      </c>
      <c r="I7" s="1">
        <v>12</v>
      </c>
      <c r="J7" s="3" t="s">
        <v>14</v>
      </c>
      <c r="K7" s="5">
        <f t="shared" si="0"/>
        <v>60000</v>
      </c>
      <c r="L7" s="5">
        <f t="shared" si="1"/>
        <v>7200</v>
      </c>
      <c r="M7" s="5">
        <f t="shared" si="2"/>
        <v>52800</v>
      </c>
      <c r="N7" s="5" t="str">
        <f t="shared" si="3"/>
        <v>High</v>
      </c>
      <c r="O7" s="12"/>
    </row>
    <row r="8" spans="1:22" x14ac:dyDescent="0.25">
      <c r="A8" s="17">
        <v>1007</v>
      </c>
      <c r="B8" s="2">
        <v>46177</v>
      </c>
      <c r="C8" s="3" t="s">
        <v>20</v>
      </c>
      <c r="D8" s="3" t="s">
        <v>21</v>
      </c>
      <c r="E8" s="3" t="s">
        <v>17</v>
      </c>
      <c r="F8" s="3" t="s">
        <v>18</v>
      </c>
      <c r="G8" s="4">
        <v>20</v>
      </c>
      <c r="H8" s="1">
        <v>850</v>
      </c>
      <c r="I8" s="1">
        <v>5</v>
      </c>
      <c r="J8" s="3" t="s">
        <v>19</v>
      </c>
      <c r="K8" s="5">
        <f t="shared" si="0"/>
        <v>17000</v>
      </c>
      <c r="L8" s="5">
        <f t="shared" si="1"/>
        <v>850</v>
      </c>
      <c r="M8" s="5">
        <f t="shared" si="2"/>
        <v>16150</v>
      </c>
      <c r="N8" s="5" t="str">
        <f t="shared" si="3"/>
        <v>Low</v>
      </c>
      <c r="O8" s="12"/>
    </row>
    <row r="9" spans="1:22" x14ac:dyDescent="0.25">
      <c r="A9" s="17">
        <v>1008</v>
      </c>
      <c r="B9" s="2">
        <v>46177</v>
      </c>
      <c r="C9" s="3" t="s">
        <v>23</v>
      </c>
      <c r="D9" s="3" t="s">
        <v>24</v>
      </c>
      <c r="E9" s="3" t="s">
        <v>22</v>
      </c>
      <c r="F9" s="3" t="s">
        <v>18</v>
      </c>
      <c r="G9" s="4">
        <v>8</v>
      </c>
      <c r="H9" s="1">
        <v>1600</v>
      </c>
      <c r="I9" s="1">
        <v>0</v>
      </c>
      <c r="J9" s="3" t="s">
        <v>19</v>
      </c>
      <c r="K9" s="5">
        <f t="shared" si="0"/>
        <v>12800</v>
      </c>
      <c r="L9" s="5">
        <f t="shared" si="1"/>
        <v>0</v>
      </c>
      <c r="M9" s="5">
        <f t="shared" si="2"/>
        <v>12800</v>
      </c>
      <c r="N9" s="5" t="str">
        <f t="shared" si="3"/>
        <v>Low</v>
      </c>
      <c r="O9" s="12"/>
      <c r="P9" s="13"/>
    </row>
    <row r="10" spans="1:22" x14ac:dyDescent="0.25">
      <c r="A10" s="17">
        <v>1009</v>
      </c>
      <c r="B10" s="2">
        <v>46178</v>
      </c>
      <c r="C10" s="3" t="s">
        <v>10</v>
      </c>
      <c r="D10" s="3" t="s">
        <v>11</v>
      </c>
      <c r="E10" s="3" t="s">
        <v>25</v>
      </c>
      <c r="F10" s="3" t="s">
        <v>13</v>
      </c>
      <c r="G10" s="4">
        <v>1</v>
      </c>
      <c r="H10" s="1">
        <v>12500</v>
      </c>
      <c r="I10" s="1">
        <v>15</v>
      </c>
      <c r="J10" s="3" t="s">
        <v>14</v>
      </c>
      <c r="K10" s="5">
        <f t="shared" si="0"/>
        <v>12500</v>
      </c>
      <c r="L10" s="5">
        <f t="shared" si="1"/>
        <v>1875</v>
      </c>
      <c r="M10" s="5">
        <f t="shared" si="2"/>
        <v>10625</v>
      </c>
      <c r="N10" s="5" t="str">
        <f t="shared" si="3"/>
        <v>Low</v>
      </c>
      <c r="O10" s="12"/>
      <c r="P10" s="13"/>
    </row>
    <row r="11" spans="1:22" x14ac:dyDescent="0.25">
      <c r="A11" s="17">
        <v>1010</v>
      </c>
      <c r="B11" s="2">
        <v>46178</v>
      </c>
      <c r="C11" s="3" t="s">
        <v>15</v>
      </c>
      <c r="D11" s="3" t="s">
        <v>16</v>
      </c>
      <c r="E11" s="3" t="s">
        <v>26</v>
      </c>
      <c r="F11" s="3" t="s">
        <v>13</v>
      </c>
      <c r="G11" s="4">
        <v>3</v>
      </c>
      <c r="H11" s="1">
        <v>17500</v>
      </c>
      <c r="I11" s="1">
        <v>10</v>
      </c>
      <c r="J11" s="3" t="s">
        <v>19</v>
      </c>
      <c r="K11" s="5">
        <f t="shared" si="0"/>
        <v>52500</v>
      </c>
      <c r="L11" s="5">
        <f t="shared" si="1"/>
        <v>5250</v>
      </c>
      <c r="M11" s="5">
        <f t="shared" si="2"/>
        <v>47250</v>
      </c>
      <c r="N11" s="5" t="str">
        <f t="shared" si="3"/>
        <v>Low</v>
      </c>
      <c r="O11" s="12"/>
      <c r="P11" s="13"/>
    </row>
    <row r="12" spans="1:22" x14ac:dyDescent="0.25">
      <c r="A12" s="17">
        <v>1011</v>
      </c>
      <c r="B12" s="2">
        <v>46179</v>
      </c>
      <c r="C12" s="3" t="s">
        <v>20</v>
      </c>
      <c r="D12" s="3" t="s">
        <v>21</v>
      </c>
      <c r="E12" s="3" t="s">
        <v>12</v>
      </c>
      <c r="F12" s="3" t="s">
        <v>13</v>
      </c>
      <c r="G12" s="4">
        <v>2</v>
      </c>
      <c r="H12" s="1">
        <v>58000</v>
      </c>
      <c r="I12" s="1">
        <v>5</v>
      </c>
      <c r="J12" s="3" t="s">
        <v>14</v>
      </c>
      <c r="K12" s="5">
        <f t="shared" si="0"/>
        <v>116000</v>
      </c>
      <c r="L12" s="5">
        <f t="shared" si="1"/>
        <v>5800</v>
      </c>
      <c r="M12" s="5">
        <f t="shared" si="2"/>
        <v>110200</v>
      </c>
      <c r="N12" s="5" t="str">
        <f t="shared" si="3"/>
        <v>High</v>
      </c>
    </row>
    <row r="13" spans="1:22" x14ac:dyDescent="0.25">
      <c r="A13" s="17">
        <v>1012</v>
      </c>
      <c r="B13" s="2">
        <v>46179</v>
      </c>
      <c r="C13" s="3" t="s">
        <v>23</v>
      </c>
      <c r="D13" s="3" t="s">
        <v>24</v>
      </c>
      <c r="E13" s="3" t="s">
        <v>17</v>
      </c>
      <c r="F13" s="3" t="s">
        <v>18</v>
      </c>
      <c r="G13" s="4">
        <v>15</v>
      </c>
      <c r="H13" s="1">
        <v>900</v>
      </c>
      <c r="I13" s="1">
        <v>0</v>
      </c>
      <c r="J13" s="3" t="s">
        <v>19</v>
      </c>
      <c r="K13" s="5">
        <f t="shared" si="0"/>
        <v>13500</v>
      </c>
      <c r="L13" s="5">
        <f t="shared" si="1"/>
        <v>0</v>
      </c>
      <c r="M13" s="5">
        <f t="shared" si="2"/>
        <v>13500</v>
      </c>
      <c r="N13" s="5" t="str">
        <f t="shared" si="3"/>
        <v>Low</v>
      </c>
    </row>
    <row r="14" spans="1:22" x14ac:dyDescent="0.25">
      <c r="A14" s="17">
        <v>1013</v>
      </c>
      <c r="B14" s="2">
        <v>46180</v>
      </c>
      <c r="C14" s="3" t="s">
        <v>10</v>
      </c>
      <c r="D14" s="3" t="s">
        <v>11</v>
      </c>
      <c r="E14" s="3" t="s">
        <v>22</v>
      </c>
      <c r="F14" s="3" t="s">
        <v>18</v>
      </c>
      <c r="G14" s="4">
        <v>6</v>
      </c>
      <c r="H14" s="1">
        <v>1550</v>
      </c>
      <c r="I14" s="1">
        <v>10</v>
      </c>
      <c r="J14" s="3" t="s">
        <v>14</v>
      </c>
      <c r="K14" s="5">
        <f t="shared" si="0"/>
        <v>9300</v>
      </c>
      <c r="L14" s="5">
        <f t="shared" si="1"/>
        <v>930</v>
      </c>
      <c r="M14" s="5">
        <f t="shared" si="2"/>
        <v>8370</v>
      </c>
      <c r="N14" s="5" t="str">
        <f t="shared" si="3"/>
        <v>Low</v>
      </c>
      <c r="O14" s="11"/>
      <c r="P14" s="12"/>
      <c r="R14" s="11"/>
      <c r="S14" s="12"/>
    </row>
    <row r="15" spans="1:22" x14ac:dyDescent="0.25">
      <c r="A15" s="17">
        <v>1014</v>
      </c>
      <c r="B15" s="2">
        <v>46180</v>
      </c>
      <c r="C15" s="3" t="s">
        <v>15</v>
      </c>
      <c r="D15" s="3" t="s">
        <v>16</v>
      </c>
      <c r="E15" s="3" t="s">
        <v>25</v>
      </c>
      <c r="F15" s="3" t="s">
        <v>13</v>
      </c>
      <c r="G15" s="4">
        <v>2</v>
      </c>
      <c r="H15" s="1">
        <v>11800</v>
      </c>
      <c r="I15" s="1">
        <v>5</v>
      </c>
      <c r="J15" s="3" t="s">
        <v>19</v>
      </c>
      <c r="K15" s="5">
        <f t="shared" si="0"/>
        <v>23600</v>
      </c>
      <c r="L15" s="5">
        <f t="shared" si="1"/>
        <v>1180</v>
      </c>
      <c r="M15" s="5">
        <f t="shared" si="2"/>
        <v>22420</v>
      </c>
      <c r="N15" s="5" t="str">
        <f t="shared" si="3"/>
        <v>Low</v>
      </c>
      <c r="O15" s="6"/>
      <c r="R15" s="7"/>
    </row>
    <row r="16" spans="1:22" x14ac:dyDescent="0.25">
      <c r="A16" s="18">
        <v>1015</v>
      </c>
      <c r="B16" s="19">
        <v>46181</v>
      </c>
      <c r="C16" s="20" t="s">
        <v>20</v>
      </c>
      <c r="D16" s="20" t="s">
        <v>21</v>
      </c>
      <c r="E16" s="20" t="s">
        <v>26</v>
      </c>
      <c r="F16" s="20" t="s">
        <v>13</v>
      </c>
      <c r="G16" s="21">
        <v>4</v>
      </c>
      <c r="H16" s="22">
        <v>18200</v>
      </c>
      <c r="I16" s="22">
        <v>8</v>
      </c>
      <c r="J16" s="20" t="s">
        <v>14</v>
      </c>
      <c r="K16" s="23">
        <f t="shared" si="0"/>
        <v>72800</v>
      </c>
      <c r="L16" s="23">
        <f t="shared" si="1"/>
        <v>5824</v>
      </c>
      <c r="M16" s="23">
        <f t="shared" si="2"/>
        <v>66976</v>
      </c>
      <c r="N16" s="23" t="str">
        <f t="shared" si="3"/>
        <v>High</v>
      </c>
      <c r="O16" s="6"/>
      <c r="R16" s="7"/>
    </row>
    <row r="17" spans="15:18" x14ac:dyDescent="0.25">
      <c r="O17" s="6"/>
      <c r="R17" s="7"/>
    </row>
    <row r="18" spans="15:18" x14ac:dyDescent="0.25">
      <c r="O18" s="6"/>
      <c r="R18" s="7"/>
    </row>
    <row r="20" spans="15:18" x14ac:dyDescent="0.25">
      <c r="O20" s="11"/>
      <c r="P20" s="12"/>
    </row>
    <row r="21" spans="15:18" x14ac:dyDescent="0.25">
      <c r="O21" s="6"/>
      <c r="R21" s="8"/>
    </row>
    <row r="22" spans="15:18" x14ac:dyDescent="0.25">
      <c r="O22" s="6"/>
    </row>
    <row r="24" spans="15:18" x14ac:dyDescent="0.25">
      <c r="R24" s="14"/>
    </row>
    <row r="25" spans="15:18" x14ac:dyDescent="0.25">
      <c r="O25" s="11"/>
      <c r="P25" s="12"/>
    </row>
    <row r="26" spans="15:18" x14ac:dyDescent="0.25">
      <c r="O26" s="6"/>
    </row>
    <row r="27" spans="15:18" x14ac:dyDescent="0.25">
      <c r="O27" s="6"/>
    </row>
    <row r="28" spans="15:18" x14ac:dyDescent="0.25">
      <c r="O28" s="6"/>
    </row>
    <row r="29" spans="15:18" x14ac:dyDescent="0.25">
      <c r="O29" s="6"/>
    </row>
    <row r="30" spans="15:18" x14ac:dyDescent="0.25">
      <c r="O30" s="6"/>
    </row>
    <row r="33" spans="15:16" x14ac:dyDescent="0.25">
      <c r="O33" s="11"/>
      <c r="P33" s="12"/>
    </row>
    <row r="34" spans="15:16" x14ac:dyDescent="0.25">
      <c r="O34" s="6"/>
      <c r="P34" s="15"/>
    </row>
    <row r="35" spans="15:16" x14ac:dyDescent="0.25">
      <c r="O35" s="6"/>
      <c r="P35" s="15"/>
    </row>
    <row r="36" spans="15:16" x14ac:dyDescent="0.25">
      <c r="O36" s="6"/>
      <c r="P36" s="15"/>
    </row>
    <row r="37" spans="15:16" x14ac:dyDescent="0.25">
      <c r="O37" s="6"/>
      <c r="P37" s="15"/>
    </row>
  </sheetData>
  <sortState xmlns:xlrd2="http://schemas.microsoft.com/office/spreadsheetml/2017/richdata2" ref="O26:P30">
    <sortCondition descending="1" ref="P26:P30"/>
  </sortState>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A20C6-FF2D-419A-9C6F-CE7B2EBB685B}">
  <dimension ref="A3:Y17"/>
  <sheetViews>
    <sheetView workbookViewId="0">
      <selection activeCell="L4" sqref="L4:M8"/>
    </sheetView>
  </sheetViews>
  <sheetFormatPr defaultRowHeight="15" x14ac:dyDescent="0.25"/>
  <cols>
    <col min="1" max="2" width="16.7109375" bestFit="1" customWidth="1"/>
    <col min="3" max="3" width="13.140625" bestFit="1" customWidth="1"/>
    <col min="4" max="4" width="16" bestFit="1" customWidth="1"/>
    <col min="9" max="9" width="13.140625" bestFit="1" customWidth="1"/>
    <col min="10" max="10" width="16" bestFit="1" customWidth="1"/>
    <col min="11" max="11" width="16.7109375" bestFit="1" customWidth="1"/>
    <col min="15" max="15" width="13.140625" bestFit="1" customWidth="1"/>
    <col min="16" max="16" width="16.7109375" bestFit="1" customWidth="1"/>
    <col min="18" max="18" width="13.140625" bestFit="1" customWidth="1"/>
    <col min="19" max="19" width="16" bestFit="1" customWidth="1"/>
    <col min="21" max="21" width="13.140625" bestFit="1" customWidth="1"/>
    <col min="22" max="22" width="16" bestFit="1" customWidth="1"/>
    <col min="24" max="24" width="13.140625" bestFit="1" customWidth="1"/>
    <col min="25" max="25" width="16" bestFit="1" customWidth="1"/>
  </cols>
  <sheetData>
    <row r="3" spans="1:25" x14ac:dyDescent="0.25">
      <c r="A3" t="s">
        <v>33</v>
      </c>
      <c r="C3" s="12"/>
      <c r="F3" s="12"/>
      <c r="G3" s="12"/>
      <c r="I3" s="12" t="s">
        <v>36</v>
      </c>
    </row>
    <row r="4" spans="1:25" x14ac:dyDescent="0.25">
      <c r="A4" s="16">
        <v>547611</v>
      </c>
      <c r="I4" s="9" t="s">
        <v>31</v>
      </c>
      <c r="J4" t="s">
        <v>33</v>
      </c>
      <c r="L4" s="12"/>
      <c r="M4" s="12"/>
      <c r="O4" s="9" t="s">
        <v>31</v>
      </c>
      <c r="P4" t="s">
        <v>34</v>
      </c>
      <c r="R4" s="9" t="s">
        <v>31</v>
      </c>
      <c r="S4" t="s">
        <v>33</v>
      </c>
      <c r="U4" s="9" t="s">
        <v>31</v>
      </c>
      <c r="V4" t="s">
        <v>33</v>
      </c>
      <c r="X4" s="9" t="s">
        <v>31</v>
      </c>
      <c r="Y4" t="s">
        <v>33</v>
      </c>
    </row>
    <row r="5" spans="1:25" x14ac:dyDescent="0.25">
      <c r="I5" s="10" t="s">
        <v>20</v>
      </c>
      <c r="J5" s="16">
        <v>200826</v>
      </c>
      <c r="O5" s="10" t="s">
        <v>17</v>
      </c>
      <c r="P5" s="16">
        <v>45</v>
      </c>
      <c r="R5" s="10" t="s">
        <v>13</v>
      </c>
      <c r="S5" s="16">
        <v>482091</v>
      </c>
      <c r="U5" s="10" t="s">
        <v>21</v>
      </c>
      <c r="V5" s="16">
        <v>200826</v>
      </c>
      <c r="X5" s="29">
        <v>46174</v>
      </c>
      <c r="Y5" s="16">
        <v>111700</v>
      </c>
    </row>
    <row r="6" spans="1:25" x14ac:dyDescent="0.25">
      <c r="I6" s="10" t="s">
        <v>10</v>
      </c>
      <c r="J6" s="16">
        <v>157695</v>
      </c>
      <c r="O6" s="10" t="s">
        <v>22</v>
      </c>
      <c r="P6" s="16">
        <v>19</v>
      </c>
      <c r="R6" s="10" t="s">
        <v>18</v>
      </c>
      <c r="S6" s="16">
        <v>65520</v>
      </c>
      <c r="U6" s="10" t="s">
        <v>24</v>
      </c>
      <c r="V6" s="16">
        <v>59420</v>
      </c>
      <c r="X6" s="29">
        <v>46175</v>
      </c>
      <c r="Y6" s="16">
        <v>40620</v>
      </c>
    </row>
    <row r="7" spans="1:25" x14ac:dyDescent="0.25">
      <c r="A7" t="s">
        <v>35</v>
      </c>
      <c r="I7" s="10" t="s">
        <v>15</v>
      </c>
      <c r="J7" s="16">
        <v>129670</v>
      </c>
      <c r="O7" s="10" t="s">
        <v>26</v>
      </c>
      <c r="P7" s="16">
        <v>9</v>
      </c>
      <c r="R7" s="10" t="s">
        <v>32</v>
      </c>
      <c r="S7" s="16">
        <v>547611</v>
      </c>
      <c r="U7" s="10" t="s">
        <v>16</v>
      </c>
      <c r="V7" s="16">
        <v>129670</v>
      </c>
      <c r="X7" s="29">
        <v>46176</v>
      </c>
      <c r="Y7" s="16">
        <v>87000</v>
      </c>
    </row>
    <row r="8" spans="1:25" x14ac:dyDescent="0.25">
      <c r="A8" s="16">
        <v>15</v>
      </c>
      <c r="I8" s="10" t="s">
        <v>23</v>
      </c>
      <c r="J8" s="16">
        <v>59420</v>
      </c>
      <c r="O8" s="10" t="s">
        <v>25</v>
      </c>
      <c r="P8" s="16">
        <v>6</v>
      </c>
      <c r="U8" s="10" t="s">
        <v>11</v>
      </c>
      <c r="V8" s="16">
        <v>157695</v>
      </c>
      <c r="X8" s="29">
        <v>46177</v>
      </c>
      <c r="Y8" s="16">
        <v>28950</v>
      </c>
    </row>
    <row r="9" spans="1:25" x14ac:dyDescent="0.25">
      <c r="I9" s="10" t="s">
        <v>32</v>
      </c>
      <c r="J9" s="16">
        <v>547611</v>
      </c>
      <c r="O9" s="10" t="s">
        <v>12</v>
      </c>
      <c r="P9" s="16">
        <v>5</v>
      </c>
      <c r="U9" s="10" t="s">
        <v>32</v>
      </c>
      <c r="V9" s="16">
        <v>547611</v>
      </c>
      <c r="X9" s="29">
        <v>46178</v>
      </c>
      <c r="Y9" s="16">
        <v>57875</v>
      </c>
    </row>
    <row r="10" spans="1:25" x14ac:dyDescent="0.25">
      <c r="O10" s="10" t="s">
        <v>32</v>
      </c>
      <c r="P10" s="16">
        <v>84</v>
      </c>
      <c r="X10" s="29">
        <v>46179</v>
      </c>
      <c r="Y10" s="16">
        <v>123700</v>
      </c>
    </row>
    <row r="11" spans="1:25" x14ac:dyDescent="0.25">
      <c r="A11" t="s">
        <v>34</v>
      </c>
      <c r="X11" s="29">
        <v>46180</v>
      </c>
      <c r="Y11" s="16">
        <v>30790</v>
      </c>
    </row>
    <row r="12" spans="1:25" x14ac:dyDescent="0.25">
      <c r="A12" s="16">
        <v>84</v>
      </c>
      <c r="I12" t="str">
        <f>I5</f>
        <v>East</v>
      </c>
      <c r="X12" s="29">
        <v>46181</v>
      </c>
      <c r="Y12" s="16">
        <v>66976</v>
      </c>
    </row>
    <row r="13" spans="1:25" x14ac:dyDescent="0.25">
      <c r="O13" t="str">
        <f>O5</f>
        <v>Mouse</v>
      </c>
      <c r="X13" s="29" t="s">
        <v>32</v>
      </c>
      <c r="Y13" s="16">
        <v>547611</v>
      </c>
    </row>
    <row r="15" spans="1:25" x14ac:dyDescent="0.25">
      <c r="A15" s="30">
        <f>GETPIVOTDATA("Net Sales",U4:V9)</f>
        <v>547611</v>
      </c>
    </row>
    <row r="16" spans="1:25" x14ac:dyDescent="0.25">
      <c r="A16">
        <f>GETPIVOTDATA("Order ID",$A$7)</f>
        <v>15</v>
      </c>
    </row>
    <row r="17" spans="1:1" x14ac:dyDescent="0.25">
      <c r="A17">
        <f>GETPIVOTDATA("Units Sold",$A$11)</f>
        <v>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9750F-9C1A-4C6E-A6E8-E269BA5151F5}">
  <dimension ref="A1"/>
  <sheetViews>
    <sheetView showGridLines="0" showRowColHeaders="0" tabSelected="1" zoomScale="55" zoomScaleNormal="55" workbookViewId="0">
      <selection activeCell="AA32" sqref="AA3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Rakshit Pandey</dc:creator>
  <cp:lastModifiedBy>Rakshit Pandey</cp:lastModifiedBy>
  <dcterms:created xsi:type="dcterms:W3CDTF">2026-06-30T12:40:58Z</dcterms:created>
  <dcterms:modified xsi:type="dcterms:W3CDTF">2026-06-30T20:05:21Z</dcterms:modified>
</cp:coreProperties>
</file>